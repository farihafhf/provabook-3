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17496" windowHeight="9996" activeTab="3"/>
  </bookViews>
  <sheets>
    <sheet name="INVOICE" sheetId="1" r:id="rId1"/>
    <sheet name="PL" sheetId="2" r:id="rId2"/>
    <sheet name="WEIGHT" sheetId="4" r:id="rId3"/>
    <sheet name="PRE SHIPMENT" sheetId="3" r:id="rId4"/>
  </sheets>
  <definedNames>
    <definedName name="bl_no_h" localSheetId="0">INVOICE!$C$13</definedName>
    <definedName name="Ocean_vessel_voyage_no" localSheetId="0">INVOICE!$C$12</definedName>
    <definedName name="_xlnm.Print_Area" localSheetId="0">INVOICE!$A$1:$J$50</definedName>
    <definedName name="_xlnm.Print_Area" localSheetId="1">PL!$A$1:$K$50</definedName>
    <definedName name="_xlnm.Print_Area" localSheetId="3">'PRE SHIPMENT'!#REF!</definedName>
  </definedNames>
  <calcPr calcId="144525"/>
</workbook>
</file>

<file path=xl/calcChain.xml><?xml version="1.0" encoding="utf-8"?>
<calcChain xmlns="http://schemas.openxmlformats.org/spreadsheetml/2006/main">
  <c r="K25" i="3" l="1"/>
  <c r="J25" i="3"/>
  <c r="I25" i="3"/>
  <c r="G25" i="3"/>
  <c r="C25" i="3"/>
  <c r="K25" i="4"/>
  <c r="J25" i="4"/>
  <c r="I25" i="4"/>
  <c r="G25" i="4"/>
  <c r="C25" i="4"/>
  <c r="H25" i="2"/>
  <c r="H25" i="3" s="1"/>
  <c r="C25" i="2"/>
  <c r="J25" i="1"/>
  <c r="H25" i="4" l="1"/>
  <c r="C15" i="3"/>
  <c r="A15" i="3"/>
  <c r="C15" i="4"/>
  <c r="A15" i="4"/>
  <c r="C15" i="2"/>
  <c r="A15" i="2"/>
  <c r="J24" i="1" l="1"/>
  <c r="G32" i="2" l="1"/>
  <c r="I32" i="2" l="1"/>
  <c r="H32" i="1" l="1"/>
  <c r="C43" i="3" l="1"/>
  <c r="C42" i="3"/>
  <c r="C41" i="3"/>
  <c r="C40" i="3"/>
  <c r="C37" i="4"/>
  <c r="C36" i="4"/>
  <c r="C35" i="4"/>
  <c r="C39" i="2" l="1"/>
  <c r="C38" i="2"/>
  <c r="J32" i="1" l="1"/>
  <c r="G24" i="3" l="1"/>
  <c r="C24" i="3"/>
  <c r="G24" i="4"/>
  <c r="G31" i="4" s="1"/>
  <c r="C24" i="4"/>
  <c r="H24" i="2"/>
  <c r="H32" i="2" s="1"/>
  <c r="C24" i="2"/>
  <c r="J32" i="2" l="1"/>
  <c r="H24" i="4"/>
  <c r="H24" i="3"/>
  <c r="I32" i="3"/>
  <c r="G32" i="3"/>
  <c r="I24" i="3" l="1"/>
  <c r="I24" i="4"/>
  <c r="J32" i="3"/>
  <c r="J24" i="3"/>
  <c r="J24" i="4"/>
  <c r="K32" i="2"/>
  <c r="K32" i="3" s="1"/>
  <c r="K24" i="4"/>
  <c r="K24" i="3"/>
  <c r="I31" i="4"/>
  <c r="J31" i="4" l="1"/>
  <c r="K31" i="4"/>
  <c r="H31" i="4"/>
  <c r="H32" i="3"/>
  <c r="C34" i="4"/>
  <c r="C40" i="2"/>
  <c r="C37" i="2"/>
  <c r="C33" i="3" l="1"/>
  <c r="C33" i="4"/>
  <c r="A33" i="4"/>
  <c r="A26" i="4"/>
  <c r="B25" i="4"/>
  <c r="A25" i="4"/>
  <c r="A24" i="4"/>
  <c r="C23" i="4"/>
  <c r="A23" i="4"/>
  <c r="C22" i="4"/>
  <c r="A22" i="4"/>
  <c r="H20" i="4"/>
  <c r="C20" i="4"/>
  <c r="A20" i="4"/>
  <c r="A19" i="4"/>
  <c r="A18" i="4"/>
  <c r="A17" i="4"/>
  <c r="D16" i="4"/>
  <c r="A16" i="4"/>
  <c r="G15" i="4"/>
  <c r="G14" i="4"/>
  <c r="C14" i="4"/>
  <c r="A14" i="4"/>
  <c r="G13" i="4"/>
  <c r="C13" i="4"/>
  <c r="A13" i="4"/>
  <c r="G12" i="4"/>
  <c r="C12" i="4"/>
  <c r="A12" i="4"/>
  <c r="G11" i="4"/>
  <c r="C11" i="4"/>
  <c r="A11" i="4"/>
  <c r="J10" i="4"/>
  <c r="I10" i="4"/>
  <c r="H10" i="4"/>
  <c r="G10" i="4"/>
  <c r="C10" i="4"/>
  <c r="A10" i="4"/>
  <c r="J9" i="4"/>
  <c r="I9" i="4"/>
  <c r="H9" i="4"/>
  <c r="A9" i="4"/>
  <c r="A8" i="4"/>
  <c r="A7" i="4"/>
  <c r="A6" i="4"/>
  <c r="A5" i="4"/>
  <c r="A4" i="4"/>
  <c r="A3" i="4"/>
  <c r="A2" i="4"/>
  <c r="A1" i="4"/>
  <c r="D34" i="3"/>
  <c r="C23" i="3"/>
  <c r="G15" i="3"/>
  <c r="G14" i="3"/>
  <c r="G13" i="3"/>
  <c r="G12" i="3"/>
  <c r="A19" i="2"/>
  <c r="A18" i="2"/>
  <c r="A17" i="2"/>
  <c r="D16" i="2"/>
  <c r="G15" i="2"/>
  <c r="G14" i="2"/>
  <c r="G13" i="2"/>
  <c r="G12" i="2"/>
  <c r="I20" i="3"/>
  <c r="H20" i="2"/>
  <c r="H20" i="3" s="1"/>
  <c r="C39" i="3"/>
  <c r="A39" i="3"/>
  <c r="A26" i="3"/>
  <c r="B25" i="3"/>
  <c r="A25" i="3"/>
  <c r="A24" i="3"/>
  <c r="A23" i="3"/>
  <c r="C22" i="3"/>
  <c r="A22" i="3"/>
  <c r="C20" i="3"/>
  <c r="A20" i="3"/>
  <c r="A16" i="3"/>
  <c r="C14" i="3"/>
  <c r="A14" i="3"/>
  <c r="C13" i="3"/>
  <c r="A13" i="3"/>
  <c r="C12" i="3"/>
  <c r="A12" i="3"/>
  <c r="G11" i="3"/>
  <c r="C11" i="3"/>
  <c r="A11" i="3"/>
  <c r="J10" i="3"/>
  <c r="I10" i="3"/>
  <c r="H10" i="3"/>
  <c r="G10" i="3"/>
  <c r="C10" i="3"/>
  <c r="A10" i="3"/>
  <c r="J9" i="3"/>
  <c r="I9" i="3"/>
  <c r="H9" i="3"/>
  <c r="A9" i="3"/>
  <c r="A8" i="3"/>
  <c r="A7" i="3"/>
  <c r="A6" i="3"/>
  <c r="A5" i="3"/>
  <c r="A4" i="3"/>
  <c r="A3" i="3"/>
  <c r="A2" i="3"/>
  <c r="A1" i="3"/>
  <c r="B25" i="2"/>
  <c r="A25" i="2"/>
  <c r="C14" i="2"/>
  <c r="C13" i="2"/>
  <c r="C12" i="2"/>
  <c r="J10" i="2"/>
  <c r="I10" i="2"/>
  <c r="G10" i="2"/>
  <c r="J9" i="2"/>
  <c r="I9" i="2"/>
  <c r="H9" i="2"/>
  <c r="A20" i="2"/>
  <c r="C36" i="2"/>
  <c r="A36" i="2"/>
  <c r="A26" i="2"/>
  <c r="A24" i="2"/>
  <c r="A23" i="2"/>
  <c r="A22" i="2"/>
  <c r="C20" i="2"/>
  <c r="C23" i="2"/>
  <c r="C22" i="2"/>
  <c r="A16" i="2"/>
  <c r="H10" i="2"/>
  <c r="G11" i="2"/>
  <c r="C11" i="2"/>
  <c r="C10" i="2"/>
  <c r="A5" i="2"/>
  <c r="A1" i="2"/>
  <c r="A14" i="2"/>
  <c r="A13" i="2"/>
  <c r="A12" i="2"/>
  <c r="A11" i="2"/>
  <c r="A10" i="2"/>
  <c r="A9" i="2"/>
  <c r="A8" i="2"/>
  <c r="A7" i="2"/>
  <c r="A6" i="2"/>
  <c r="A4" i="2"/>
  <c r="A3" i="2"/>
  <c r="A2" i="2"/>
  <c r="D35" i="1" l="1"/>
  <c r="C34" i="3"/>
</calcChain>
</file>

<file path=xl/sharedStrings.xml><?xml version="1.0" encoding="utf-8"?>
<sst xmlns="http://schemas.openxmlformats.org/spreadsheetml/2006/main" count="103" uniqueCount="94">
  <si>
    <t>Unit Price</t>
  </si>
  <si>
    <t>Amount</t>
  </si>
  <si>
    <t xml:space="preserve">ROLL NO:    </t>
  </si>
  <si>
    <t xml:space="preserve"> </t>
  </si>
  <si>
    <t>REFERENCE:</t>
  </si>
  <si>
    <t>TOTAL</t>
    <phoneticPr fontId="1" type="noConversion"/>
  </si>
  <si>
    <t>PACKING:</t>
    <phoneticPr fontId="1" type="noConversion"/>
  </si>
  <si>
    <t>Rolls</t>
    <phoneticPr fontId="1" type="noConversion"/>
  </si>
  <si>
    <t>N.W.(kgs)</t>
    <phoneticPr fontId="1" type="noConversion"/>
  </si>
  <si>
    <t>COL.</t>
    <phoneticPr fontId="1" type="noConversion"/>
  </si>
  <si>
    <t>INVOICE VALUE:</t>
  </si>
  <si>
    <t>RESULTS:</t>
  </si>
  <si>
    <t>G.W.(kgs)</t>
    <phoneticPr fontId="1" type="noConversion"/>
  </si>
  <si>
    <t>MONGKOK,KOWLOON,HONG KONG.</t>
    <phoneticPr fontId="1" type="noConversion"/>
  </si>
  <si>
    <t>ROOMS 1316,13/F,HOLLYWOOD PLAZA,610 NATHAN ROAD,</t>
    <phoneticPr fontId="1" type="noConversion"/>
  </si>
  <si>
    <t>BIN/VAT REGISTRATION NO.:000319795-0505</t>
    <phoneticPr fontId="1" type="noConversion"/>
  </si>
  <si>
    <t xml:space="preserve">WE CERTIFY THAT: </t>
  </si>
  <si>
    <t>2)THE QUANTITY,QUALITY,UNIT PRICE AND OTHER SPECIFICATION OF THE GOODS</t>
    <phoneticPr fontId="1" type="noConversion"/>
  </si>
  <si>
    <t>SUPPLIED ARE STRICTLY AS PER BENEFICIARY’S PROFORMA INVOICE NO.:</t>
    <phoneticPr fontId="1" type="noConversion"/>
  </si>
  <si>
    <t>20YDS UP,STANDARD EXPORT ROLL PACKING.</t>
    <phoneticPr fontId="1" type="noConversion"/>
  </si>
  <si>
    <t xml:space="preserve">REGARDING QUANTITY ,QUALITY, INVOICE VALUE,UNIT PRICE,ETC. ARE CONFORM TO </t>
    <phoneticPr fontId="1" type="noConversion"/>
  </si>
  <si>
    <t>ISSUER:</t>
    <phoneticPr fontId="1" type="noConversion"/>
  </si>
  <si>
    <t>SKY NICE INTERNATIONAL TRADING LIMITED</t>
    <phoneticPr fontId="1" type="noConversion"/>
  </si>
  <si>
    <t>TO:</t>
    <phoneticPr fontId="1" type="noConversion"/>
  </si>
  <si>
    <t>CAESAR APPARELS LIMITED</t>
    <phoneticPr fontId="1" type="noConversion"/>
  </si>
  <si>
    <t>NO.</t>
    <phoneticPr fontId="1" type="noConversion"/>
  </si>
  <si>
    <t>DATE:</t>
    <phoneticPr fontId="1" type="noConversion"/>
  </si>
  <si>
    <t xml:space="preserve">      Shipping Mark</t>
    <phoneticPr fontId="1" type="noConversion"/>
  </si>
  <si>
    <t>Description of Goods</t>
    <phoneticPr fontId="1" type="noConversion"/>
  </si>
  <si>
    <t>CAESAR APPARELS</t>
    <phoneticPr fontId="1" type="noConversion"/>
  </si>
  <si>
    <t>LTD.</t>
    <phoneticPr fontId="1" type="noConversion"/>
  </si>
  <si>
    <t xml:space="preserve">MADE IN CHINA </t>
    <phoneticPr fontId="1" type="noConversion"/>
  </si>
  <si>
    <t>1)THE MERCHANDISE ARE OF ‘CHINA’ ORIGIN.</t>
    <phoneticPr fontId="1" type="noConversion"/>
  </si>
  <si>
    <t>COMMERCIAL INVOICE</t>
    <phoneticPr fontId="1" type="noConversion"/>
  </si>
  <si>
    <t>CBM</t>
    <phoneticPr fontId="1" type="noConversion"/>
  </si>
  <si>
    <t>DETAILED PACKING  LIST</t>
    <phoneticPr fontId="1" type="noConversion"/>
  </si>
  <si>
    <t>QNTY:</t>
    <phoneticPr fontId="1" type="noConversion"/>
  </si>
  <si>
    <t>82,NASIRABAD I/A,</t>
    <phoneticPr fontId="1" type="noConversion"/>
  </si>
  <si>
    <t>CHATTOGRAM-4209,BANGLADESH.</t>
    <phoneticPr fontId="1" type="noConversion"/>
  </si>
  <si>
    <t>DATE:</t>
  </si>
  <si>
    <t>TO:</t>
  </si>
  <si>
    <t>ISSUED BY:</t>
  </si>
  <si>
    <t>COMMODITY DESCRIPTION:</t>
  </si>
  <si>
    <t>QUALITY,QUANTITY,UNIT PRICE AND OTHER SPECIFICATION OF GOODS ARE STRICTLY AS PER BENEFICIARY’S</t>
  </si>
  <si>
    <t>Rolls</t>
    <phoneticPr fontId="1" type="noConversion"/>
  </si>
  <si>
    <t>G.W.(kgs)</t>
    <phoneticPr fontId="1" type="noConversion"/>
  </si>
  <si>
    <t>N.W.(kgs)</t>
    <phoneticPr fontId="1" type="noConversion"/>
  </si>
  <si>
    <t>CBM</t>
    <phoneticPr fontId="1" type="noConversion"/>
  </si>
  <si>
    <t>WEIGHT AND MEASUREMENT LIST</t>
    <phoneticPr fontId="1" type="noConversion"/>
  </si>
  <si>
    <t>NO.</t>
    <phoneticPr fontId="1" type="noConversion"/>
  </si>
  <si>
    <t>WE,AS INSPECTOR, HEREBY CERTIFY THAT WE HAVE CARRIED OUT 100PCT CONSIGNMENT INSPECTION</t>
    <phoneticPr fontId="1" type="noConversion"/>
  </si>
  <si>
    <t>AT OUR COST BEFROE SHIPMENT AS BELOW:</t>
    <phoneticPr fontId="1" type="noConversion"/>
  </si>
  <si>
    <t>TOTAL</t>
    <phoneticPr fontId="1" type="noConversion"/>
  </si>
  <si>
    <t>PACKING:</t>
    <phoneticPr fontId="1" type="noConversion"/>
  </si>
  <si>
    <t>PRE-SHIPMENT INSPECTION CERTIFICATE</t>
    <phoneticPr fontId="1" type="noConversion"/>
  </si>
  <si>
    <t>SHIPMENT UNDER BONDED WAREHOUSE LICENCE.</t>
  </si>
  <si>
    <t>BB LC NO.</t>
    <phoneticPr fontId="1" type="noConversion"/>
  </si>
  <si>
    <t xml:space="preserve">FREIGHT CHARGES: </t>
    <phoneticPr fontId="1" type="noConversion"/>
  </si>
  <si>
    <r>
      <t xml:space="preserve">FOB VALUE OF THE GOODS: </t>
    </r>
    <r>
      <rPr>
        <sz val="9"/>
        <rFont val="Times New Roman"/>
        <family val="1"/>
      </rPr>
      <t xml:space="preserve"> </t>
    </r>
    <phoneticPr fontId="1" type="noConversion"/>
  </si>
  <si>
    <t>BIN NO.000215909-0101.</t>
    <phoneticPr fontId="1" type="noConversion"/>
  </si>
  <si>
    <t>SANMAR TOWER-1(1ST FLOOR),1850/3319,CDA AVENUE,</t>
    <phoneticPr fontId="1" type="noConversion"/>
  </si>
  <si>
    <t>TRUST BANK PLC,CDA AVENUE BRANCH,</t>
    <phoneticPr fontId="1" type="noConversion"/>
  </si>
  <si>
    <t>EXPORT LC NO.ELLOS/CAESAR/001/2025 DATED 01.01.2025</t>
    <phoneticPr fontId="1" type="noConversion"/>
  </si>
  <si>
    <t>REF:CA-300/TB/DEC-24/EL/AW25/SN 01/PAL/HAS</t>
    <phoneticPr fontId="1" type="noConversion"/>
  </si>
  <si>
    <t>SHIPMENT FROM:</t>
  </si>
  <si>
    <t>SHANGHAI PORT,CHINA</t>
  </si>
  <si>
    <t>CHATTOGRAM,BANGLADESH</t>
  </si>
  <si>
    <t>VESSEL/VOY NO.</t>
  </si>
  <si>
    <t>B/L NO.</t>
  </si>
  <si>
    <t>CONTAINER NO.</t>
  </si>
  <si>
    <t>SHIPPED ON BOARD:</t>
  </si>
  <si>
    <t>(CFR CHATTOGRAM,BANGLADESH)</t>
    <phoneticPr fontId="1" type="noConversion"/>
  </si>
  <si>
    <t>FABRICS FOR READYMADE GARMENTS ORIGIN:CHINA</t>
    <phoneticPr fontId="1" type="noConversion"/>
  </si>
  <si>
    <t>DWJ251019H</t>
    <phoneticPr fontId="1" type="noConversion"/>
  </si>
  <si>
    <t>OCT 19,2025</t>
    <phoneticPr fontId="1" type="noConversion"/>
  </si>
  <si>
    <t>JSSE2516331B</t>
    <phoneticPr fontId="1" type="noConversion"/>
  </si>
  <si>
    <t>MAERSK BINTULU V.536A</t>
    <phoneticPr fontId="1" type="noConversion"/>
  </si>
  <si>
    <t>TCKU7262512</t>
    <phoneticPr fontId="1" type="noConversion"/>
  </si>
  <si>
    <t>EAST NASIRABAD,CHATTOGRAM-4000,BANGLADESH.</t>
    <phoneticPr fontId="1" type="noConversion"/>
  </si>
  <si>
    <t>95% RECYCLED POLYESTER 5% ELASTANE AOP KNIT SINGLE JERSEY FABRIC</t>
    <phoneticPr fontId="1" type="noConversion"/>
  </si>
  <si>
    <t>BLUE FLOWER AOP</t>
    <phoneticPr fontId="1" type="noConversion"/>
  </si>
  <si>
    <t>GREEN FLOWER AOP</t>
    <phoneticPr fontId="1" type="noConversion"/>
  </si>
  <si>
    <t>Quantity(Kgs)</t>
    <phoneticPr fontId="1" type="noConversion"/>
  </si>
  <si>
    <t>CW:60" WEIGHT:170-180GSM STYLE# 7024625 ORDER NO.103956933</t>
    <phoneticPr fontId="26" type="noConversion"/>
  </si>
  <si>
    <t>(INVOICE VALUE: SAY U.S.DOLLARS SIX THOUSAND ONE HUNDRED THIRTY-TWO ONLY.)</t>
    <phoneticPr fontId="1" type="noConversion"/>
  </si>
  <si>
    <t>JSC/PFA/CAL/25159 DATED 16.09.2025 AND SIGNED BETWEEN BUYER AND SELLER.</t>
    <phoneticPr fontId="1" type="noConversion"/>
  </si>
  <si>
    <t>DELIVERY TERM:CFR CHATTOGRAM,BANGLADESH.(INCOTERMS 2020.)DESCRIPTION OF MERCHANDISE,</t>
    <phoneticPr fontId="1" type="noConversion"/>
  </si>
  <si>
    <t xml:space="preserve">FABRICS FOR READY MADE GARMENTS. ORIGIN:CHINA </t>
    <phoneticPr fontId="1" type="noConversion"/>
  </si>
  <si>
    <t>IMPORT UNDER IRC NO.:BA-0164952(OLD),NEW:260315120051220,</t>
    <phoneticPr fontId="1" type="noConversion"/>
  </si>
  <si>
    <t>TIN NO.:789197699253/CIRCLE-68,H.S.CODE NO.6004.10.00</t>
    <phoneticPr fontId="1" type="noConversion"/>
  </si>
  <si>
    <t>(TOTAL PACKAGES: SAY FIFTY ROLLS ONLY.)</t>
    <phoneticPr fontId="1" type="noConversion"/>
  </si>
  <si>
    <t>LC NO.236025060019 AND BENEFICIARY’S PROFORMA INVOICE NO.:</t>
    <phoneticPr fontId="1" type="noConversion"/>
  </si>
  <si>
    <t>PROFORMA INVOICE NO.:JSC/PFA/CAL/25159 DATED 16.09.2025 AND SIGNED BETWEEN BUYER AND SELLER.</t>
    <phoneticPr fontId="1" type="noConversion"/>
  </si>
  <si>
    <t>JSC/PFA/CAL/25159 DATED 16.09.2025 AND SIGNED BETWEEN BUYER AND SELLER.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</si>
</sst>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6" formatCode="&quot;US$&quot;#,##0.00;[Red]&quot;US$&quot;#,##0.00"/>
    <numFmt numFmtId="177" formatCode="yyyy/m/d;@"/>
    <numFmt numFmtId="178" formatCode="000000"/>
    <numFmt numFmtId="179" formatCode="_(* #,##0.00_);_(* \(#,##0.00\);_(* &quot;-&quot;??_);_(@_)"/>
    <numFmt numFmtId="180" formatCode="_(&quot;$&quot;* #,##0.00_);_(&quot;$&quot;* \(#,##0.00\);_(&quot;$&quot;* &quot;-&quot;??_);_(@_)"/>
    <numFmt numFmtId="181" formatCode="&quot;US$&quot;#,##0.00;\-&quot;US$&quot;#,##0.00"/>
    <numFmt numFmtId="182" formatCode="0_ "/>
    <numFmt numFmtId="183" formatCode="0.0_ "/>
    <numFmt numFmtId="184" formatCode="&quot;US$&quot;#,##0.00_);[Red]\(&quot;US$&quot;#,##0.00\)"/>
    <numFmt numFmtId="185" formatCode="0_);[Red]\(0\)"/>
    <numFmt numFmtId="186" formatCode="0.0_);[Red]\(0.0\)"/>
  </numFmts>
  <fonts count="47">
    <font>
      <sz val="12"/>
      <name val="宋体"/>
      <charset val="134"/>
    </font>
    <font>
      <sz val="9"/>
      <name val="宋体"/>
      <family val="3"/>
      <charset val="134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4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indexed="8"/>
      <name val="Calibri Light"/>
      <family val="2"/>
    </font>
    <font>
      <sz val="12"/>
      <color indexed="8"/>
      <name val="Calibri"/>
      <family val="2"/>
    </font>
    <font>
      <sz val="10"/>
      <color indexed="8"/>
      <name val="Verdana Pro Condensed"/>
      <family val="2"/>
    </font>
    <font>
      <sz val="9"/>
      <color indexed="8"/>
      <name val="Arial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9"/>
      <color indexed="62"/>
      <name val="Arial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1"/>
      <color indexed="8"/>
      <name val="Verdana Pro Condensed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1"/>
      <color theme="1"/>
      <name val="Calibri"/>
      <family val="2"/>
    </font>
    <font>
      <sz val="10"/>
      <color theme="1"/>
      <name val="Calibri Light"/>
      <family val="2"/>
    </font>
    <font>
      <sz val="12"/>
      <color theme="1"/>
      <name val="宋体"/>
      <family val="2"/>
      <scheme val="minor"/>
    </font>
    <font>
      <sz val="11"/>
      <color rgb="FF000000"/>
      <name val="Calibri"/>
      <family val="2"/>
    </font>
    <font>
      <sz val="10"/>
      <color theme="1"/>
      <name val="Verdana Pro Condensed"/>
      <family val="2"/>
    </font>
    <font>
      <sz val="9"/>
      <color theme="1"/>
      <name val="Arial"/>
      <family val="2"/>
    </font>
    <font>
      <sz val="9"/>
      <color rgb="FF3F3F76"/>
      <name val="Arial"/>
      <family val="2"/>
    </font>
    <font>
      <sz val="11"/>
      <color theme="1"/>
      <name val="Verdana Pro Condensed"/>
      <family val="2"/>
    </font>
    <font>
      <sz val="11"/>
      <color theme="1"/>
      <name val="宋体"/>
      <family val="2"/>
      <scheme val="minor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name val="宋体"/>
      <family val="3"/>
      <charset val="134"/>
    </font>
    <font>
      <sz val="9"/>
      <color indexed="8"/>
      <name val="Times New Roman"/>
      <family val="1"/>
    </font>
    <font>
      <b/>
      <sz val="9"/>
      <name val="宋体"/>
      <family val="3"/>
      <charset val="134"/>
    </font>
    <font>
      <b/>
      <sz val="9"/>
      <color indexed="8"/>
      <name val="Times New Roman"/>
      <family val="1"/>
    </font>
    <font>
      <sz val="12"/>
      <name val="宋体"/>
      <family val="3"/>
      <charset val="134"/>
    </font>
    <font>
      <b/>
      <sz val="9"/>
      <color rgb="FFFF0000"/>
      <name val="Times New Roman"/>
      <family val="1"/>
    </font>
    <font>
      <b/>
      <sz val="1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rgb="FFFFCC99"/>
      </patternFill>
    </fill>
  </fills>
  <borders count="2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39">
    <xf numFmtId="0" fontId="0" fillId="0" borderId="0">
      <alignment vertical="center"/>
    </xf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2" borderId="0" applyNumberFormat="0" applyBorder="0" applyAlignment="0" applyProtection="0"/>
    <xf numFmtId="0" fontId="2" fillId="5" borderId="0" applyNumberFormat="0" applyBorder="0" applyAlignment="0" applyProtection="0"/>
    <xf numFmtId="0" fontId="2" fillId="3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7" borderId="0" applyNumberFormat="0" applyBorder="0" applyAlignment="0" applyProtection="0"/>
    <xf numFmtId="0" fontId="2" fillId="10" borderId="0" applyNumberFormat="0" applyBorder="0" applyAlignment="0" applyProtection="0"/>
    <xf numFmtId="0" fontId="2" fillId="3" borderId="0" applyNumberFormat="0" applyBorder="0" applyAlignment="0" applyProtection="0"/>
    <xf numFmtId="0" fontId="3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11" borderId="0" applyNumberFormat="0" applyBorder="0" applyAlignment="0" applyProtection="0"/>
    <xf numFmtId="0" fontId="3" fillId="3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2" borderId="1" applyNumberFormat="0" applyAlignment="0" applyProtection="0"/>
    <xf numFmtId="0" fontId="6" fillId="16" borderId="2" applyNumberFormat="0" applyAlignment="0" applyProtection="0"/>
    <xf numFmtId="179" fontId="7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9" fillId="0" borderId="0" applyFont="0" applyFill="0" applyBorder="0" applyAlignment="0" applyProtection="0"/>
    <xf numFmtId="180" fontId="10" fillId="0" borderId="0" applyFont="0" applyFill="0" applyBorder="0" applyAlignment="0" applyProtection="0"/>
    <xf numFmtId="180" fontId="7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10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2" fillId="6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3" borderId="1" applyNumberFormat="0" applyAlignment="0" applyProtection="0"/>
    <xf numFmtId="0" fontId="17" fillId="3" borderId="1" applyNumberFormat="0" applyAlignment="0" applyProtection="0"/>
    <xf numFmtId="0" fontId="16" fillId="3" borderId="1" applyNumberFormat="0" applyAlignment="0" applyProtection="0"/>
    <xf numFmtId="0" fontId="18" fillId="0" borderId="6" applyNumberFormat="0" applyFill="0" applyAlignment="0" applyProtection="0"/>
    <xf numFmtId="0" fontId="19" fillId="9" borderId="0" applyNumberFormat="0" applyBorder="0" applyAlignment="0" applyProtection="0"/>
    <xf numFmtId="0" fontId="9" fillId="0" borderId="0"/>
    <xf numFmtId="0" fontId="20" fillId="0" borderId="0"/>
    <xf numFmtId="0" fontId="21" fillId="0" borderId="0"/>
    <xf numFmtId="0" fontId="2" fillId="0" borderId="0"/>
    <xf numFmtId="0" fontId="10" fillId="0" borderId="0"/>
    <xf numFmtId="0" fontId="10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10" fillId="0" borderId="0"/>
    <xf numFmtId="0" fontId="21" fillId="4" borderId="7" applyNumberFormat="0" applyFont="0" applyAlignment="0" applyProtection="0"/>
    <xf numFmtId="0" fontId="22" fillId="2" borderId="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80" fontId="2" fillId="0" borderId="0" applyFont="0" applyFill="0" applyBorder="0" applyAlignment="0" applyProtection="0"/>
    <xf numFmtId="0" fontId="21" fillId="0" borderId="0"/>
    <xf numFmtId="179" fontId="28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30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2" fillId="0" borderId="0" applyFont="0" applyFill="0" applyBorder="0" applyAlignment="0" applyProtection="0"/>
    <xf numFmtId="180" fontId="28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2" fillId="0" borderId="0" applyFont="0" applyFill="0" applyBorder="0" applyAlignment="0" applyProtection="0"/>
    <xf numFmtId="0" fontId="33" fillId="17" borderId="24" applyNumberFormat="0" applyAlignment="0" applyProtection="0"/>
    <xf numFmtId="0" fontId="31" fillId="0" borderId="0"/>
    <xf numFmtId="0" fontId="34" fillId="0" borderId="0"/>
    <xf numFmtId="0" fontId="27" fillId="0" borderId="0"/>
    <xf numFmtId="0" fontId="32" fillId="0" borderId="0"/>
    <xf numFmtId="0" fontId="32" fillId="0" borderId="0"/>
    <xf numFmtId="0" fontId="28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9" fillId="0" borderId="0"/>
    <xf numFmtId="0" fontId="30" fillId="0" borderId="0"/>
    <xf numFmtId="0" fontId="32" fillId="0" borderId="0"/>
    <xf numFmtId="9" fontId="35" fillId="0" borderId="0" applyFont="0" applyFill="0" applyBorder="0" applyAlignment="0" applyProtection="0"/>
    <xf numFmtId="9" fontId="35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30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32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180" fontId="35" fillId="0" borderId="0" applyFont="0" applyFill="0" applyBorder="0" applyAlignment="0" applyProtection="0"/>
    <xf numFmtId="180" fontId="35" fillId="0" borderId="0" applyFont="0" applyFill="0" applyBorder="0" applyAlignment="0" applyProtection="0"/>
    <xf numFmtId="0" fontId="44" fillId="0" borderId="0">
      <alignment vertical="center"/>
    </xf>
    <xf numFmtId="0" fontId="4" fillId="15" borderId="0" applyNumberFormat="0" applyBorder="0" applyAlignment="0" applyProtection="0"/>
    <xf numFmtId="0" fontId="12" fillId="6" borderId="0" applyNumberFormat="0" applyBorder="0" applyAlignment="0" applyProtection="0"/>
    <xf numFmtId="0" fontId="44" fillId="0" borderId="0">
      <alignment vertical="center"/>
    </xf>
  </cellStyleXfs>
  <cellXfs count="164">
    <xf numFmtId="0" fontId="0" fillId="0" borderId="0" xfId="0">
      <alignment vertical="center"/>
    </xf>
    <xf numFmtId="184" fontId="0" fillId="0" borderId="0" xfId="0" applyNumberFormat="1">
      <alignment vertical="center"/>
    </xf>
    <xf numFmtId="0" fontId="0" fillId="0" borderId="18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38" fillId="0" borderId="15" xfId="0" applyFont="1" applyBorder="1">
      <alignment vertical="center"/>
    </xf>
    <xf numFmtId="0" fontId="39" fillId="0" borderId="10" xfId="0" applyFont="1" applyBorder="1">
      <alignment vertical="center"/>
    </xf>
    <xf numFmtId="0" fontId="39" fillId="0" borderId="11" xfId="0" applyFont="1" applyBorder="1">
      <alignment vertical="center"/>
    </xf>
    <xf numFmtId="0" fontId="39" fillId="0" borderId="15" xfId="0" applyFont="1" applyBorder="1">
      <alignment vertical="center"/>
    </xf>
    <xf numFmtId="184" fontId="39" fillId="0" borderId="10" xfId="0" applyNumberFormat="1" applyFont="1" applyBorder="1">
      <alignment vertical="center"/>
    </xf>
    <xf numFmtId="0" fontId="40" fillId="0" borderId="0" xfId="0" applyFont="1">
      <alignment vertical="center"/>
    </xf>
    <xf numFmtId="0" fontId="39" fillId="0" borderId="13" xfId="0" applyFont="1" applyBorder="1">
      <alignment vertical="center"/>
    </xf>
    <xf numFmtId="0" fontId="39" fillId="0" borderId="0" xfId="0" applyFont="1" applyBorder="1">
      <alignment vertical="center"/>
    </xf>
    <xf numFmtId="0" fontId="39" fillId="0" borderId="12" xfId="0" applyFont="1" applyBorder="1">
      <alignment vertical="center"/>
    </xf>
    <xf numFmtId="184" fontId="39" fillId="0" borderId="0" xfId="0" applyNumberFormat="1" applyFont="1" applyBorder="1">
      <alignment vertical="center"/>
    </xf>
    <xf numFmtId="0" fontId="39" fillId="0" borderId="16" xfId="0" applyFont="1" applyBorder="1">
      <alignment vertical="center"/>
    </xf>
    <xf numFmtId="0" fontId="38" fillId="0" borderId="15" xfId="0" applyFont="1" applyBorder="1" applyAlignment="1">
      <alignment vertical="center"/>
    </xf>
    <xf numFmtId="0" fontId="39" fillId="0" borderId="0" xfId="0" applyFont="1" applyBorder="1" applyAlignment="1">
      <alignment vertical="center"/>
    </xf>
    <xf numFmtId="0" fontId="39" fillId="0" borderId="12" xfId="0" applyFont="1" applyBorder="1" applyAlignment="1">
      <alignment vertical="center"/>
    </xf>
    <xf numFmtId="0" fontId="39" fillId="0" borderId="13" xfId="0" applyFont="1" applyBorder="1" applyAlignment="1">
      <alignment vertical="center"/>
    </xf>
    <xf numFmtId="184" fontId="39" fillId="0" borderId="0" xfId="0" applyNumberFormat="1" applyFont="1" applyBorder="1" applyAlignment="1">
      <alignment vertical="center"/>
    </xf>
    <xf numFmtId="0" fontId="39" fillId="0" borderId="18" xfId="0" applyFont="1" applyBorder="1">
      <alignment vertical="center"/>
    </xf>
    <xf numFmtId="0" fontId="39" fillId="0" borderId="14" xfId="0" applyFont="1" applyBorder="1">
      <alignment vertical="center"/>
    </xf>
    <xf numFmtId="0" fontId="38" fillId="0" borderId="19" xfId="0" applyFont="1" applyBorder="1">
      <alignment vertical="center"/>
    </xf>
    <xf numFmtId="12" fontId="39" fillId="0" borderId="17" xfId="0" applyNumberFormat="1" applyFont="1" applyBorder="1" applyAlignment="1">
      <alignment horizontal="left" vertical="center" wrapText="1"/>
    </xf>
    <xf numFmtId="184" fontId="38" fillId="0" borderId="19" xfId="0" applyNumberFormat="1" applyFont="1" applyBorder="1">
      <alignment vertical="center"/>
    </xf>
    <xf numFmtId="177" fontId="39" fillId="0" borderId="17" xfId="0" applyNumberFormat="1" applyFont="1" applyBorder="1" applyAlignment="1">
      <alignment horizontal="left" vertical="center"/>
    </xf>
    <xf numFmtId="0" fontId="38" fillId="0" borderId="13" xfId="0" applyFont="1" applyBorder="1">
      <alignment vertical="center"/>
    </xf>
    <xf numFmtId="0" fontId="40" fillId="0" borderId="0" xfId="0" applyFont="1" applyBorder="1">
      <alignment vertical="center"/>
    </xf>
    <xf numFmtId="0" fontId="38" fillId="0" borderId="0" xfId="0" applyFont="1" applyBorder="1">
      <alignment vertical="center"/>
    </xf>
    <xf numFmtId="184" fontId="40" fillId="0" borderId="0" xfId="0" applyNumberFormat="1" applyFont="1" applyBorder="1">
      <alignment vertical="center"/>
    </xf>
    <xf numFmtId="0" fontId="38" fillId="0" borderId="18" xfId="0" applyFont="1" applyBorder="1">
      <alignment vertical="center"/>
    </xf>
    <xf numFmtId="0" fontId="38" fillId="0" borderId="14" xfId="0" applyFont="1" applyBorder="1">
      <alignment vertical="center"/>
    </xf>
    <xf numFmtId="0" fontId="38" fillId="0" borderId="10" xfId="0" applyFont="1" applyBorder="1" applyAlignment="1">
      <alignment horizontal="center" vertical="center"/>
    </xf>
    <xf numFmtId="184" fontId="38" fillId="0" borderId="21" xfId="0" applyNumberFormat="1" applyFont="1" applyBorder="1" applyAlignment="1">
      <alignment horizontal="center" vertical="center"/>
    </xf>
    <xf numFmtId="0" fontId="38" fillId="0" borderId="21" xfId="0" applyFont="1" applyBorder="1" applyAlignment="1">
      <alignment horizontal="center" vertical="center"/>
    </xf>
    <xf numFmtId="0" fontId="39" fillId="0" borderId="15" xfId="0" applyFont="1" applyFill="1" applyBorder="1">
      <alignment vertical="center"/>
    </xf>
    <xf numFmtId="0" fontId="39" fillId="0" borderId="10" xfId="0" applyFont="1" applyFill="1" applyBorder="1">
      <alignment vertical="center"/>
    </xf>
    <xf numFmtId="0" fontId="41" fillId="0" borderId="13" xfId="0" applyFont="1" applyFill="1" applyBorder="1" applyAlignment="1">
      <alignment vertical="center"/>
    </xf>
    <xf numFmtId="0" fontId="39" fillId="0" borderId="0" xfId="0" applyFont="1" applyFill="1" applyBorder="1" applyAlignment="1">
      <alignment vertical="center"/>
    </xf>
    <xf numFmtId="0" fontId="39" fillId="0" borderId="0" xfId="0" applyFont="1" applyFill="1" applyBorder="1">
      <alignment vertical="center"/>
    </xf>
    <xf numFmtId="0" fontId="39" fillId="0" borderId="0" xfId="0" applyFont="1" applyFill="1" applyBorder="1" applyAlignment="1"/>
    <xf numFmtId="0" fontId="39" fillId="0" borderId="0" xfId="87" applyFont="1" applyFill="1" applyBorder="1" applyAlignment="1">
      <alignment horizontal="center"/>
    </xf>
    <xf numFmtId="0" fontId="41" fillId="0" borderId="13" xfId="0" applyFont="1" applyFill="1" applyBorder="1" applyAlignment="1"/>
    <xf numFmtId="0" fontId="39" fillId="0" borderId="0" xfId="0" applyNumberFormat="1" applyFont="1" applyBorder="1" applyAlignment="1">
      <alignment vertical="center"/>
    </xf>
    <xf numFmtId="0" fontId="39" fillId="0" borderId="14" xfId="0" applyFont="1" applyFill="1" applyBorder="1">
      <alignment vertical="center"/>
    </xf>
    <xf numFmtId="0" fontId="39" fillId="0" borderId="14" xfId="87" applyFont="1" applyFill="1" applyBorder="1" applyAlignment="1">
      <alignment horizontal="center"/>
    </xf>
    <xf numFmtId="184" fontId="39" fillId="0" borderId="14" xfId="0" applyNumberFormat="1" applyFont="1" applyBorder="1" applyAlignment="1">
      <alignment horizontal="left" vertical="center"/>
    </xf>
    <xf numFmtId="0" fontId="39" fillId="0" borderId="0" xfId="0" applyFont="1" applyBorder="1" applyAlignment="1">
      <alignment horizontal="center" vertical="center"/>
    </xf>
    <xf numFmtId="0" fontId="38" fillId="0" borderId="0" xfId="0" applyFont="1" applyBorder="1" applyAlignment="1">
      <alignment horizontal="center" vertical="center"/>
    </xf>
    <xf numFmtId="0" fontId="42" fillId="0" borderId="0" xfId="0" applyFont="1" applyBorder="1">
      <alignment vertical="center"/>
    </xf>
    <xf numFmtId="176" fontId="39" fillId="0" borderId="12" xfId="0" applyNumberFormat="1" applyFont="1" applyBorder="1" applyAlignment="1">
      <alignment horizontal="center" vertical="center"/>
    </xf>
    <xf numFmtId="181" fontId="39" fillId="0" borderId="0" xfId="0" applyNumberFormat="1" applyFont="1" applyBorder="1" applyAlignment="1">
      <alignment horizontal="left" vertical="center"/>
    </xf>
    <xf numFmtId="0" fontId="38" fillId="0" borderId="0" xfId="0" applyFont="1" applyBorder="1" applyAlignment="1">
      <alignment horizontal="left" vertical="center"/>
    </xf>
    <xf numFmtId="181" fontId="39" fillId="0" borderId="12" xfId="0" applyNumberFormat="1" applyFont="1" applyBorder="1" applyAlignment="1">
      <alignment horizontal="left" vertical="center"/>
    </xf>
    <xf numFmtId="0" fontId="39" fillId="0" borderId="18" xfId="0" applyFont="1" applyBorder="1" applyAlignment="1">
      <alignment vertical="center"/>
    </xf>
    <xf numFmtId="0" fontId="39" fillId="0" borderId="14" xfId="0" applyFont="1" applyBorder="1" applyAlignment="1">
      <alignment vertical="center"/>
    </xf>
    <xf numFmtId="0" fontId="38" fillId="0" borderId="20" xfId="0" applyFont="1" applyBorder="1">
      <alignment vertical="center"/>
    </xf>
    <xf numFmtId="0" fontId="39" fillId="0" borderId="19" xfId="0" applyFont="1" applyBorder="1">
      <alignment vertical="center"/>
    </xf>
    <xf numFmtId="14" fontId="39" fillId="0" borderId="22" xfId="0" applyNumberFormat="1" applyFont="1" applyBorder="1" applyAlignment="1">
      <alignment horizontal="left" vertical="center"/>
    </xf>
    <xf numFmtId="0" fontId="39" fillId="0" borderId="17" xfId="0" applyFont="1" applyBorder="1">
      <alignment vertical="center"/>
    </xf>
    <xf numFmtId="178" fontId="39" fillId="0" borderId="0" xfId="0" applyNumberFormat="1" applyFont="1" applyBorder="1" applyAlignment="1">
      <alignment horizontal="left" vertical="center"/>
    </xf>
    <xf numFmtId="0" fontId="39" fillId="0" borderId="12" xfId="0" applyFont="1" applyFill="1" applyBorder="1" applyAlignment="1">
      <alignment vertical="center"/>
    </xf>
    <xf numFmtId="0" fontId="39" fillId="0" borderId="12" xfId="0" applyFont="1" applyBorder="1" applyAlignment="1">
      <alignment horizontal="center" vertical="center"/>
    </xf>
    <xf numFmtId="182" fontId="39" fillId="0" borderId="0" xfId="0" applyNumberFormat="1" applyFont="1" applyBorder="1" applyAlignment="1">
      <alignment horizontal="center" vertical="center"/>
    </xf>
    <xf numFmtId="183" fontId="39" fillId="0" borderId="12" xfId="0" applyNumberFormat="1" applyFont="1" applyBorder="1" applyAlignment="1">
      <alignment horizontal="center" vertical="center"/>
    </xf>
    <xf numFmtId="0" fontId="39" fillId="0" borderId="14" xfId="0" applyFont="1" applyBorder="1" applyAlignment="1">
      <alignment horizontal="center" vertical="center"/>
    </xf>
    <xf numFmtId="182" fontId="39" fillId="0" borderId="14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43" fillId="0" borderId="13" xfId="0" applyFont="1" applyFill="1" applyBorder="1" applyAlignment="1"/>
    <xf numFmtId="0" fontId="39" fillId="0" borderId="0" xfId="0" applyFont="1">
      <alignment vertical="center"/>
    </xf>
    <xf numFmtId="184" fontId="40" fillId="0" borderId="14" xfId="135" applyNumberFormat="1" applyFont="1" applyBorder="1">
      <alignment vertical="center"/>
    </xf>
    <xf numFmtId="0" fontId="39" fillId="0" borderId="18" xfId="135" applyFont="1" applyFill="1" applyBorder="1">
      <alignment vertical="center"/>
    </xf>
    <xf numFmtId="0" fontId="39" fillId="0" borderId="16" xfId="135" applyFont="1" applyBorder="1">
      <alignment vertical="center"/>
    </xf>
    <xf numFmtId="0" fontId="38" fillId="0" borderId="14" xfId="135" applyFont="1" applyBorder="1">
      <alignment vertical="center"/>
    </xf>
    <xf numFmtId="0" fontId="40" fillId="0" borderId="12" xfId="135" applyFont="1" applyBorder="1">
      <alignment vertical="center"/>
    </xf>
    <xf numFmtId="0" fontId="39" fillId="0" borderId="13" xfId="135" applyFont="1" applyBorder="1">
      <alignment vertical="center"/>
    </xf>
    <xf numFmtId="0" fontId="40" fillId="0" borderId="0" xfId="135" applyFont="1" applyBorder="1">
      <alignment vertical="center"/>
    </xf>
    <xf numFmtId="184" fontId="38" fillId="0" borderId="10" xfId="135" applyNumberFormat="1" applyFont="1" applyBorder="1">
      <alignment vertical="center"/>
    </xf>
    <xf numFmtId="178" fontId="39" fillId="0" borderId="10" xfId="135" applyNumberFormat="1" applyFont="1" applyBorder="1" applyAlignment="1">
      <alignment horizontal="left" vertical="center"/>
    </xf>
    <xf numFmtId="0" fontId="39" fillId="0" borderId="10" xfId="135" applyFont="1" applyBorder="1">
      <alignment vertical="center"/>
    </xf>
    <xf numFmtId="0" fontId="40" fillId="0" borderId="16" xfId="135" applyFont="1" applyBorder="1">
      <alignment vertical="center"/>
    </xf>
    <xf numFmtId="0" fontId="40" fillId="0" borderId="14" xfId="135" applyFont="1" applyBorder="1">
      <alignment vertical="center"/>
    </xf>
    <xf numFmtId="0" fontId="39" fillId="0" borderId="14" xfId="135" applyFont="1" applyBorder="1">
      <alignment vertical="center"/>
    </xf>
    <xf numFmtId="0" fontId="38" fillId="0" borderId="18" xfId="135" applyFont="1" applyBorder="1">
      <alignment vertical="center"/>
    </xf>
    <xf numFmtId="184" fontId="40" fillId="0" borderId="0" xfId="135" applyNumberFormat="1" applyFont="1" applyBorder="1">
      <alignment vertical="center"/>
    </xf>
    <xf numFmtId="184" fontId="39" fillId="0" borderId="0" xfId="135" applyNumberFormat="1" applyFont="1" applyBorder="1">
      <alignment vertical="center"/>
    </xf>
    <xf numFmtId="0" fontId="38" fillId="0" borderId="0" xfId="135" applyFont="1" applyBorder="1">
      <alignment vertical="center"/>
    </xf>
    <xf numFmtId="14" fontId="39" fillId="0" borderId="11" xfId="135" applyNumberFormat="1" applyFont="1" applyBorder="1" applyAlignment="1">
      <alignment horizontal="left" vertical="center"/>
    </xf>
    <xf numFmtId="0" fontId="38" fillId="0" borderId="13" xfId="135" applyFont="1" applyBorder="1">
      <alignment vertical="center"/>
    </xf>
    <xf numFmtId="0" fontId="39" fillId="0" borderId="11" xfId="135" applyFont="1" applyBorder="1">
      <alignment vertical="center"/>
    </xf>
    <xf numFmtId="0" fontId="38" fillId="0" borderId="15" xfId="135" applyFont="1" applyBorder="1">
      <alignment vertical="center"/>
    </xf>
    <xf numFmtId="183" fontId="39" fillId="0" borderId="16" xfId="0" applyNumberFormat="1" applyFont="1" applyBorder="1" applyAlignment="1">
      <alignment horizontal="left" vertical="center"/>
    </xf>
    <xf numFmtId="185" fontId="39" fillId="0" borderId="0" xfId="0" applyNumberFormat="1" applyFont="1" applyBorder="1" applyAlignment="1">
      <alignment horizontal="center" vertical="center"/>
    </xf>
    <xf numFmtId="185" fontId="39" fillId="0" borderId="14" xfId="0" applyNumberFormat="1" applyFont="1" applyBorder="1" applyAlignment="1">
      <alignment horizontal="center" vertical="center"/>
    </xf>
    <xf numFmtId="178" fontId="39" fillId="0" borderId="13" xfId="0" applyNumberFormat="1" applyFont="1" applyBorder="1" applyAlignment="1">
      <alignment horizontal="left" vertical="center"/>
    </xf>
    <xf numFmtId="178" fontId="39" fillId="0" borderId="18" xfId="0" applyNumberFormat="1" applyFont="1" applyBorder="1" applyAlignment="1">
      <alignment horizontal="left" vertical="center"/>
    </xf>
    <xf numFmtId="0" fontId="39" fillId="0" borderId="0" xfId="135" applyFont="1" applyBorder="1">
      <alignment vertical="center"/>
    </xf>
    <xf numFmtId="0" fontId="39" fillId="0" borderId="12" xfId="135" applyFont="1" applyBorder="1">
      <alignment vertical="center"/>
    </xf>
    <xf numFmtId="186" fontId="39" fillId="0" borderId="10" xfId="0" applyNumberFormat="1" applyFont="1" applyBorder="1">
      <alignment vertical="center"/>
    </xf>
    <xf numFmtId="186" fontId="39" fillId="0" borderId="0" xfId="0" applyNumberFormat="1" applyFont="1" applyBorder="1">
      <alignment vertical="center"/>
    </xf>
    <xf numFmtId="186" fontId="39" fillId="0" borderId="0" xfId="0" applyNumberFormat="1" applyFont="1" applyBorder="1" applyAlignment="1">
      <alignment vertical="center"/>
    </xf>
    <xf numFmtId="186" fontId="39" fillId="0" borderId="14" xfId="0" applyNumberFormat="1" applyFont="1" applyBorder="1" applyAlignment="1">
      <alignment vertical="center"/>
    </xf>
    <xf numFmtId="186" fontId="38" fillId="0" borderId="0" xfId="0" applyNumberFormat="1" applyFont="1" applyBorder="1">
      <alignment vertical="center"/>
    </xf>
    <xf numFmtId="186" fontId="39" fillId="0" borderId="14" xfId="0" applyNumberFormat="1" applyFont="1" applyBorder="1">
      <alignment vertical="center"/>
    </xf>
    <xf numFmtId="186" fontId="38" fillId="0" borderId="19" xfId="0" applyNumberFormat="1" applyFont="1" applyBorder="1" applyAlignment="1">
      <alignment horizontal="center" vertical="center"/>
    </xf>
    <xf numFmtId="186" fontId="38" fillId="0" borderId="0" xfId="0" applyNumberFormat="1" applyFont="1" applyBorder="1" applyAlignment="1">
      <alignment horizontal="center" vertical="center"/>
    </xf>
    <xf numFmtId="186" fontId="39" fillId="0" borderId="0" xfId="0" applyNumberFormat="1" applyFont="1">
      <alignment vertical="center"/>
    </xf>
    <xf numFmtId="186" fontId="40" fillId="0" borderId="0" xfId="0" applyNumberFormat="1" applyFont="1">
      <alignment vertical="center"/>
    </xf>
    <xf numFmtId="186" fontId="0" fillId="0" borderId="0" xfId="0" applyNumberFormat="1">
      <alignment vertical="center"/>
    </xf>
    <xf numFmtId="0" fontId="38" fillId="0" borderId="19" xfId="0" applyFont="1" applyBorder="1" applyAlignment="1">
      <alignment horizontal="center" vertical="center"/>
    </xf>
    <xf numFmtId="184" fontId="38" fillId="0" borderId="0" xfId="0" applyNumberFormat="1" applyFont="1" applyBorder="1">
      <alignment vertical="center"/>
    </xf>
    <xf numFmtId="186" fontId="39" fillId="0" borderId="16" xfId="0" applyNumberFormat="1" applyFont="1" applyBorder="1" applyAlignment="1">
      <alignment horizontal="center" vertical="center"/>
    </xf>
    <xf numFmtId="0" fontId="45" fillId="0" borderId="13" xfId="0" applyFont="1" applyBorder="1">
      <alignment vertical="center"/>
    </xf>
    <xf numFmtId="184" fontId="39" fillId="0" borderId="0" xfId="0" applyNumberFormat="1" applyFont="1" applyBorder="1" applyAlignment="1">
      <alignment horizontal="left" vertical="center"/>
    </xf>
    <xf numFmtId="176" fontId="39" fillId="0" borderId="12" xfId="0" applyNumberFormat="1" applyFont="1" applyBorder="1" applyAlignment="1">
      <alignment horizontal="left" vertical="center"/>
    </xf>
    <xf numFmtId="176" fontId="39" fillId="0" borderId="16" xfId="0" applyNumberFormat="1" applyFont="1" applyBorder="1" applyAlignment="1">
      <alignment horizontal="left" vertical="center"/>
    </xf>
    <xf numFmtId="0" fontId="38" fillId="0" borderId="19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186" fontId="39" fillId="0" borderId="0" xfId="0" applyNumberFormat="1" applyFont="1" applyBorder="1" applyAlignment="1">
      <alignment horizontal="center" vertical="center"/>
    </xf>
    <xf numFmtId="0" fontId="39" fillId="0" borderId="13" xfId="0" applyFont="1" applyFill="1" applyBorder="1">
      <alignment vertical="center"/>
    </xf>
    <xf numFmtId="183" fontId="38" fillId="0" borderId="12" xfId="0" applyNumberFormat="1" applyFont="1" applyBorder="1" applyAlignment="1">
      <alignment horizontal="center" vertical="center"/>
    </xf>
    <xf numFmtId="186" fontId="39" fillId="0" borderId="11" xfId="0" applyNumberFormat="1" applyFont="1" applyBorder="1">
      <alignment vertical="center"/>
    </xf>
    <xf numFmtId="186" fontId="39" fillId="0" borderId="12" xfId="0" applyNumberFormat="1" applyFont="1" applyBorder="1">
      <alignment vertical="center"/>
    </xf>
    <xf numFmtId="186" fontId="39" fillId="0" borderId="12" xfId="0" applyNumberFormat="1" applyFont="1" applyBorder="1" applyAlignment="1">
      <alignment vertical="center"/>
    </xf>
    <xf numFmtId="186" fontId="39" fillId="0" borderId="17" xfId="0" applyNumberFormat="1" applyFont="1" applyBorder="1">
      <alignment vertical="center"/>
    </xf>
    <xf numFmtId="186" fontId="39" fillId="0" borderId="16" xfId="0" applyNumberFormat="1" applyFont="1" applyBorder="1">
      <alignment vertical="center"/>
    </xf>
    <xf numFmtId="186" fontId="39" fillId="0" borderId="12" xfId="0" applyNumberFormat="1" applyFont="1" applyBorder="1" applyAlignment="1">
      <alignment horizontal="center" vertical="center"/>
    </xf>
    <xf numFmtId="186" fontId="38" fillId="0" borderId="12" xfId="0" applyNumberFormat="1" applyFont="1" applyBorder="1" applyAlignment="1">
      <alignment horizontal="center" vertical="center"/>
    </xf>
    <xf numFmtId="182" fontId="39" fillId="0" borderId="0" xfId="0" applyNumberFormat="1" applyFont="1" applyBorder="1" applyAlignment="1">
      <alignment vertical="center"/>
    </xf>
    <xf numFmtId="183" fontId="39" fillId="0" borderId="16" xfId="0" applyNumberFormat="1" applyFont="1" applyBorder="1" applyAlignment="1">
      <alignment horizontal="center" vertical="center"/>
    </xf>
    <xf numFmtId="181" fontId="38" fillId="0" borderId="12" xfId="0" applyNumberFormat="1" applyFont="1" applyBorder="1" applyAlignment="1">
      <alignment horizontal="left" vertical="center"/>
    </xf>
    <xf numFmtId="0" fontId="39" fillId="0" borderId="14" xfId="0" applyFont="1" applyFill="1" applyBorder="1" applyAlignment="1"/>
    <xf numFmtId="0" fontId="40" fillId="0" borderId="13" xfId="0" applyFont="1" applyBorder="1">
      <alignment vertical="center"/>
    </xf>
    <xf numFmtId="0" fontId="40" fillId="0" borderId="12" xfId="0" applyFont="1" applyBorder="1">
      <alignment vertical="center"/>
    </xf>
    <xf numFmtId="0" fontId="0" fillId="0" borderId="13" xfId="0" applyBorder="1">
      <alignment vertical="center"/>
    </xf>
    <xf numFmtId="0" fontId="0" fillId="0" borderId="0" xfId="0" applyBorder="1">
      <alignment vertical="center"/>
    </xf>
    <xf numFmtId="184" fontId="0" fillId="0" borderId="0" xfId="0" applyNumberFormat="1" applyBorder="1">
      <alignment vertical="center"/>
    </xf>
    <xf numFmtId="0" fontId="0" fillId="0" borderId="12" xfId="0" applyBorder="1">
      <alignment vertical="center"/>
    </xf>
    <xf numFmtId="184" fontId="0" fillId="0" borderId="14" xfId="0" applyNumberFormat="1" applyBorder="1">
      <alignment vertical="center"/>
    </xf>
    <xf numFmtId="185" fontId="38" fillId="0" borderId="0" xfId="0" applyNumberFormat="1" applyFont="1" applyBorder="1" applyAlignment="1">
      <alignment horizontal="center" vertical="center"/>
    </xf>
    <xf numFmtId="0" fontId="39" fillId="0" borderId="13" xfId="0" applyFont="1" applyBorder="1" applyAlignment="1">
      <alignment horizontal="left" vertical="center" wrapText="1"/>
    </xf>
    <xf numFmtId="0" fontId="39" fillId="0" borderId="0" xfId="0" applyFont="1" applyBorder="1" applyAlignment="1">
      <alignment horizontal="left" vertical="center" wrapText="1"/>
    </xf>
    <xf numFmtId="0" fontId="38" fillId="0" borderId="22" xfId="0" applyFont="1" applyFill="1" applyBorder="1" applyAlignment="1">
      <alignment horizontal="center" vertical="center"/>
    </xf>
    <xf numFmtId="0" fontId="38" fillId="0" borderId="23" xfId="0" applyFont="1" applyFill="1" applyBorder="1" applyAlignment="1">
      <alignment horizontal="center" vertical="center"/>
    </xf>
    <xf numFmtId="0" fontId="38" fillId="0" borderId="17" xfId="0" applyFont="1" applyFill="1" applyBorder="1" applyAlignment="1">
      <alignment horizontal="center" vertical="center"/>
    </xf>
    <xf numFmtId="0" fontId="37" fillId="0" borderId="13" xfId="0" applyFont="1" applyBorder="1" applyAlignment="1">
      <alignment horizontal="center" vertical="center"/>
    </xf>
    <xf numFmtId="0" fontId="37" fillId="0" borderId="0" xfId="0" applyFont="1" applyBorder="1" applyAlignment="1">
      <alignment horizontal="center" vertical="center"/>
    </xf>
    <xf numFmtId="0" fontId="37" fillId="0" borderId="12" xfId="0" applyFont="1" applyBorder="1" applyAlignment="1">
      <alignment horizontal="center" vertical="center"/>
    </xf>
    <xf numFmtId="0" fontId="39" fillId="0" borderId="13" xfId="0" applyFont="1" applyFill="1" applyBorder="1" applyAlignment="1">
      <alignment horizontal="left" vertical="center" wrapText="1"/>
    </xf>
    <xf numFmtId="0" fontId="39" fillId="0" borderId="0" xfId="0" applyFont="1" applyFill="1" applyBorder="1" applyAlignment="1">
      <alignment horizontal="left" vertical="center" wrapText="1"/>
    </xf>
    <xf numFmtId="0" fontId="39" fillId="0" borderId="12" xfId="0" applyFont="1" applyFill="1" applyBorder="1" applyAlignment="1">
      <alignment horizontal="left" vertical="center" wrapText="1"/>
    </xf>
    <xf numFmtId="0" fontId="38" fillId="0" borderId="22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14" fontId="39" fillId="0" borderId="10" xfId="0" applyNumberFormat="1" applyFont="1" applyBorder="1" applyAlignment="1">
      <alignment horizontal="left" vertical="center"/>
    </xf>
    <xf numFmtId="14" fontId="39" fillId="0" borderId="11" xfId="0" applyNumberFormat="1" applyFont="1" applyBorder="1" applyAlignment="1">
      <alignment horizontal="left" vertical="center"/>
    </xf>
    <xf numFmtId="0" fontId="36" fillId="0" borderId="13" xfId="0" applyFont="1" applyBorder="1" applyAlignment="1">
      <alignment horizontal="center" vertical="center"/>
    </xf>
    <xf numFmtId="0" fontId="36" fillId="0" borderId="0" xfId="0" applyFont="1" applyBorder="1" applyAlignment="1">
      <alignment horizontal="center" vertical="center"/>
    </xf>
    <xf numFmtId="0" fontId="36" fillId="0" borderId="12" xfId="0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0" xfId="0" applyFont="1" applyBorder="1" applyAlignment="1">
      <alignment horizontal="center" vertical="center"/>
    </xf>
    <xf numFmtId="0" fontId="46" fillId="0" borderId="12" xfId="0" applyFont="1" applyBorder="1" applyAlignment="1">
      <alignment horizontal="center" vertical="center"/>
    </xf>
  </cellXfs>
  <cellStyles count="139"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Comma 2" xfId="28"/>
    <cellStyle name="Comma 2 2" xfId="88"/>
    <cellStyle name="Comma 3" xfId="29"/>
    <cellStyle name="Comma 3 2" xfId="89"/>
    <cellStyle name="Comma 4" xfId="30"/>
    <cellStyle name="Comma 4 2" xfId="90"/>
    <cellStyle name="Comma 5" xfId="31"/>
    <cellStyle name="Comma 5 2" xfId="91"/>
    <cellStyle name="Currency 2" xfId="32"/>
    <cellStyle name="Currency 2 2" xfId="92"/>
    <cellStyle name="Currency 3" xfId="33"/>
    <cellStyle name="Currency 3 2" xfId="93"/>
    <cellStyle name="Currency 4" xfId="34"/>
    <cellStyle name="Currency 4 2" xfId="94"/>
    <cellStyle name="Currency 5" xfId="35"/>
    <cellStyle name="Currency 5 2" xfId="95"/>
    <cellStyle name="Explanatory Text" xfId="36"/>
    <cellStyle name="Good" xfId="37"/>
    <cellStyle name="Heading 1" xfId="38"/>
    <cellStyle name="Heading 2" xfId="39"/>
    <cellStyle name="Heading 3" xfId="40"/>
    <cellStyle name="Heading 4" xfId="41"/>
    <cellStyle name="Input" xfId="42"/>
    <cellStyle name="Input 2" xfId="43"/>
    <cellStyle name="Input 2 2" xfId="96"/>
    <cellStyle name="Input_INVOICE" xfId="44"/>
    <cellStyle name="Linked Cell" xfId="45"/>
    <cellStyle name="Neutral" xfId="46"/>
    <cellStyle name="Normal 10" xfId="47"/>
    <cellStyle name="Normal 10 2" xfId="97"/>
    <cellStyle name="Normal 11" xfId="48"/>
    <cellStyle name="Normal 11 2" xfId="98"/>
    <cellStyle name="Normal 2" xfId="49"/>
    <cellStyle name="Normal 2 2" xfId="50"/>
    <cellStyle name="Normal 2 2 2" xfId="99"/>
    <cellStyle name="Normal 2 3" xfId="51"/>
    <cellStyle name="Normal 2 3 2" xfId="100"/>
    <cellStyle name="Normal 3" xfId="52"/>
    <cellStyle name="Normal 3 2" xfId="101"/>
    <cellStyle name="Normal 4" xfId="53"/>
    <cellStyle name="Normal 4 2" xfId="54"/>
    <cellStyle name="Normal 4 2 2" xfId="103"/>
    <cellStyle name="Normal 4 3" xfId="102"/>
    <cellStyle name="Normal 5" xfId="55"/>
    <cellStyle name="Normal 5 2" xfId="56"/>
    <cellStyle name="Normal 5 2 2" xfId="105"/>
    <cellStyle name="Normal 5 3" xfId="104"/>
    <cellStyle name="Normal 6" xfId="57"/>
    <cellStyle name="Normal 6 2" xfId="58"/>
    <cellStyle name="Normal 6 2 2" xfId="107"/>
    <cellStyle name="Normal 6 3" xfId="106"/>
    <cellStyle name="Normal 7" xfId="59"/>
    <cellStyle name="Normal 7 2" xfId="108"/>
    <cellStyle name="Normal 8" xfId="60"/>
    <cellStyle name="Normal 8 2" xfId="109"/>
    <cellStyle name="Normal 9" xfId="61"/>
    <cellStyle name="Normal 9 2" xfId="110"/>
    <cellStyle name="Note" xfId="62"/>
    <cellStyle name="Output" xfId="63"/>
    <cellStyle name="Percent 2" xfId="64"/>
    <cellStyle name="Percent 2 2" xfId="65"/>
    <cellStyle name="Percent 2 2 2" xfId="112"/>
    <cellStyle name="Percent 2 3" xfId="111"/>
    <cellStyle name="Percent 3" xfId="66"/>
    <cellStyle name="Percent 3 2" xfId="113"/>
    <cellStyle name="Percent 4" xfId="67"/>
    <cellStyle name="Percent 4 2" xfId="114"/>
    <cellStyle name="Percent 5" xfId="68"/>
    <cellStyle name="Percent 5 2" xfId="115"/>
    <cellStyle name="Percent 6" xfId="69"/>
    <cellStyle name="Percent 6 2" xfId="116"/>
    <cellStyle name="Percent 7" xfId="70"/>
    <cellStyle name="Percent 7 2" xfId="117"/>
    <cellStyle name="Percent 8" xfId="71"/>
    <cellStyle name="Percent 8 2" xfId="118"/>
    <cellStyle name="Title" xfId="72"/>
    <cellStyle name="Total" xfId="73"/>
    <cellStyle name="Warning Text" xfId="74"/>
    <cellStyle name="差_INVOICE" xfId="136"/>
    <cellStyle name="常规" xfId="0" builtinId="0"/>
    <cellStyle name="常规 10" xfId="119"/>
    <cellStyle name="常规 11" xfId="120"/>
    <cellStyle name="常规 12" xfId="87"/>
    <cellStyle name="常规 13" xfId="135"/>
    <cellStyle name="常规 2" xfId="75"/>
    <cellStyle name="常规 2 2" xfId="76"/>
    <cellStyle name="常规 2 2 2" xfId="122"/>
    <cellStyle name="常规 2 3" xfId="121"/>
    <cellStyle name="常规 2 3 2" xfId="138"/>
    <cellStyle name="常规 3" xfId="77"/>
    <cellStyle name="常规 3 2" xfId="78"/>
    <cellStyle name="常规 3 2 2" xfId="124"/>
    <cellStyle name="常规 3 3" xfId="123"/>
    <cellStyle name="常规 4" xfId="79"/>
    <cellStyle name="常规 4 2" xfId="80"/>
    <cellStyle name="常规 4 2 2" xfId="126"/>
    <cellStyle name="常规 4 3" xfId="125"/>
    <cellStyle name="常规 5" xfId="81"/>
    <cellStyle name="常规 5 2" xfId="82"/>
    <cellStyle name="常规 5 2 2" xfId="128"/>
    <cellStyle name="常规 5 3" xfId="127"/>
    <cellStyle name="常规 6" xfId="83"/>
    <cellStyle name="常规 6 2" xfId="129"/>
    <cellStyle name="常规 7" xfId="84"/>
    <cellStyle name="常规 7 2" xfId="130"/>
    <cellStyle name="常规 8" xfId="85"/>
    <cellStyle name="常规 8 2" xfId="131"/>
    <cellStyle name="常规 9" xfId="132"/>
    <cellStyle name="好_INVOICE" xfId="137"/>
    <cellStyle name="货币 2" xfId="86"/>
    <cellStyle name="货币 2 2" xfId="133"/>
    <cellStyle name="货币 3" xfId="134"/>
  </cellStyles>
  <dxfs count="3"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</font>
      <fill>
        <patternFill>
          <bgColor theme="0" tint="-0.14996795556505021"/>
        </patternFill>
      </fill>
      <border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Table Style 1" pivot="0" count="3">
      <tableStyleElement type="wholeTable" dxfId="2"/>
      <tableStyleElement type="headerRow" dxfId="1"/>
      <tableStyleElement type="totalRow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zoomScaleNormal="100" workbookViewId="0">
      <selection activeCell="A19" sqref="A19"/>
    </sheetView>
  </sheetViews>
  <sheetFormatPr defaultColWidth="8.69921875" defaultRowHeight="15.6"/>
  <cols>
    <col min="2" max="2" width="7.59765625" customWidth="1"/>
    <col min="3" max="3" width="10.69921875" customWidth="1"/>
    <col min="4" max="4" width="11.59765625" customWidth="1"/>
    <col min="5" max="5" width="2" customWidth="1"/>
    <col min="6" max="6" width="2.5" customWidth="1"/>
    <col min="7" max="7" width="9.296875" customWidth="1"/>
    <col min="8" max="8" width="13.3984375" customWidth="1"/>
    <col min="9" max="9" width="7.69921875" style="1" customWidth="1"/>
    <col min="10" max="10" width="10.8984375" customWidth="1"/>
  </cols>
  <sheetData>
    <row r="1" spans="1:10" s="10" customFormat="1" ht="15.45" customHeight="1">
      <c r="A1" s="5" t="s">
        <v>21</v>
      </c>
      <c r="B1" s="6"/>
      <c r="C1" s="6"/>
      <c r="D1" s="6"/>
      <c r="E1" s="6"/>
      <c r="F1" s="7"/>
      <c r="G1" s="8"/>
      <c r="H1" s="6"/>
      <c r="I1" s="9"/>
      <c r="J1" s="7"/>
    </row>
    <row r="2" spans="1:10" s="10" customFormat="1" ht="15.45" customHeight="1">
      <c r="A2" s="11" t="s">
        <v>22</v>
      </c>
      <c r="B2" s="12"/>
      <c r="C2" s="12"/>
      <c r="D2" s="12"/>
      <c r="E2" s="12"/>
      <c r="F2" s="13"/>
      <c r="G2" s="11"/>
      <c r="H2" s="12"/>
      <c r="I2" s="14"/>
      <c r="J2" s="13"/>
    </row>
    <row r="3" spans="1:10" s="10" customFormat="1" ht="15.45" customHeight="1">
      <c r="A3" s="11" t="s">
        <v>14</v>
      </c>
      <c r="B3" s="12"/>
      <c r="C3" s="12"/>
      <c r="D3" s="12"/>
      <c r="E3" s="12"/>
      <c r="F3" s="13"/>
      <c r="G3" s="11"/>
      <c r="H3" s="12"/>
      <c r="I3" s="14"/>
      <c r="J3" s="13"/>
    </row>
    <row r="4" spans="1:10" s="10" customFormat="1" ht="15.45" customHeight="1">
      <c r="A4" s="11" t="s">
        <v>13</v>
      </c>
      <c r="B4" s="12"/>
      <c r="C4" s="12"/>
      <c r="D4" s="12"/>
      <c r="E4" s="12"/>
      <c r="F4" s="15"/>
      <c r="G4" s="11"/>
      <c r="H4" s="12"/>
      <c r="I4" s="14"/>
      <c r="J4" s="13"/>
    </row>
    <row r="5" spans="1:10" s="10" customFormat="1" ht="15.45" customHeight="1">
      <c r="A5" s="16" t="s">
        <v>23</v>
      </c>
      <c r="B5" s="6"/>
      <c r="C5" s="6"/>
      <c r="D5" s="6"/>
      <c r="E5" s="6"/>
      <c r="F5" s="7"/>
      <c r="G5" s="146" t="s">
        <v>33</v>
      </c>
      <c r="H5" s="147"/>
      <c r="I5" s="147"/>
      <c r="J5" s="148"/>
    </row>
    <row r="6" spans="1:10" s="10" customFormat="1" ht="15.45" customHeight="1">
      <c r="A6" s="141" t="s">
        <v>24</v>
      </c>
      <c r="B6" s="142"/>
      <c r="C6" s="142"/>
      <c r="D6" s="142"/>
      <c r="E6" s="12"/>
      <c r="F6" s="13"/>
      <c r="G6" s="12"/>
      <c r="H6" s="12"/>
      <c r="I6" s="14"/>
      <c r="J6" s="13"/>
    </row>
    <row r="7" spans="1:10" s="10" customFormat="1" ht="15.45" customHeight="1">
      <c r="A7" s="11" t="s">
        <v>37</v>
      </c>
      <c r="B7" s="12"/>
      <c r="C7" s="12"/>
      <c r="D7" s="12"/>
      <c r="E7" s="12"/>
      <c r="F7" s="13"/>
      <c r="G7" s="12"/>
      <c r="H7" s="12"/>
      <c r="I7" s="14"/>
      <c r="J7" s="13"/>
    </row>
    <row r="8" spans="1:10" s="10" customFormat="1" ht="15.45" customHeight="1">
      <c r="A8" s="11" t="s">
        <v>38</v>
      </c>
      <c r="B8" s="12"/>
      <c r="C8" s="12"/>
      <c r="D8" s="12"/>
      <c r="E8" s="17"/>
      <c r="F8" s="18"/>
      <c r="G8" s="19"/>
      <c r="H8" s="17"/>
      <c r="I8" s="20"/>
      <c r="J8" s="18"/>
    </row>
    <row r="9" spans="1:10" s="10" customFormat="1" ht="15.45" customHeight="1">
      <c r="A9" s="21" t="s">
        <v>15</v>
      </c>
      <c r="B9" s="22"/>
      <c r="C9" s="22"/>
      <c r="D9" s="22"/>
      <c r="E9" s="22"/>
      <c r="F9" s="15"/>
      <c r="G9" s="23" t="s">
        <v>25</v>
      </c>
      <c r="H9" s="24" t="s">
        <v>73</v>
      </c>
      <c r="I9" s="25" t="s">
        <v>26</v>
      </c>
      <c r="J9" s="26">
        <v>45949</v>
      </c>
    </row>
    <row r="10" spans="1:10" s="10" customFormat="1" ht="15.45" customHeight="1">
      <c r="A10" s="91" t="s">
        <v>64</v>
      </c>
      <c r="B10" s="80"/>
      <c r="C10" s="80" t="s">
        <v>65</v>
      </c>
      <c r="D10" s="97"/>
      <c r="E10" s="80"/>
      <c r="F10" s="90"/>
      <c r="G10" s="91" t="s">
        <v>56</v>
      </c>
      <c r="H10" s="79">
        <v>236025060019</v>
      </c>
      <c r="I10" s="78" t="s">
        <v>39</v>
      </c>
      <c r="J10" s="88">
        <v>45944</v>
      </c>
    </row>
    <row r="11" spans="1:10" s="10" customFormat="1" ht="15.45" customHeight="1">
      <c r="A11" s="89" t="s">
        <v>40</v>
      </c>
      <c r="B11" s="97"/>
      <c r="C11" s="97" t="s">
        <v>66</v>
      </c>
      <c r="D11" s="97"/>
      <c r="E11" s="97"/>
      <c r="F11" s="98"/>
      <c r="G11" s="89" t="s">
        <v>41</v>
      </c>
      <c r="H11" s="77"/>
      <c r="I11" s="86"/>
      <c r="J11" s="98"/>
    </row>
    <row r="12" spans="1:10" s="10" customFormat="1" ht="15.45" customHeight="1">
      <c r="A12" s="89" t="s">
        <v>67</v>
      </c>
      <c r="B12" s="87"/>
      <c r="C12" s="97" t="s">
        <v>76</v>
      </c>
      <c r="D12" s="97"/>
      <c r="E12" s="97"/>
      <c r="F12" s="98"/>
      <c r="G12" s="76" t="s">
        <v>61</v>
      </c>
      <c r="H12" s="77"/>
      <c r="I12" s="85"/>
      <c r="J12" s="75"/>
    </row>
    <row r="13" spans="1:10" s="10" customFormat="1" ht="15.45" customHeight="1">
      <c r="A13" s="89" t="s">
        <v>68</v>
      </c>
      <c r="B13" s="87"/>
      <c r="C13" s="97" t="s">
        <v>75</v>
      </c>
      <c r="D13" s="97"/>
      <c r="E13" s="97"/>
      <c r="F13" s="98"/>
      <c r="G13" s="76" t="s">
        <v>60</v>
      </c>
      <c r="H13" s="97"/>
      <c r="I13" s="86"/>
      <c r="J13" s="98"/>
    </row>
    <row r="14" spans="1:10" s="10" customFormat="1" ht="15.45" customHeight="1">
      <c r="A14" s="89" t="s">
        <v>69</v>
      </c>
      <c r="B14" s="87"/>
      <c r="C14" s="97" t="s">
        <v>77</v>
      </c>
      <c r="D14" s="97"/>
      <c r="E14" s="97"/>
      <c r="F14" s="97"/>
      <c r="G14" s="76" t="s">
        <v>78</v>
      </c>
      <c r="H14" s="97"/>
      <c r="I14" s="86"/>
      <c r="J14" s="98"/>
    </row>
    <row r="15" spans="1:10" s="10" customFormat="1" ht="15.45" customHeight="1">
      <c r="A15" s="84" t="s">
        <v>70</v>
      </c>
      <c r="B15" s="74"/>
      <c r="C15" s="83" t="s">
        <v>74</v>
      </c>
      <c r="D15" s="83"/>
      <c r="E15" s="83"/>
      <c r="F15" s="73"/>
      <c r="G15" s="72" t="s">
        <v>59</v>
      </c>
      <c r="H15" s="82"/>
      <c r="I15" s="71"/>
      <c r="J15" s="81"/>
    </row>
    <row r="16" spans="1:10" s="10" customFormat="1" ht="15.45" customHeight="1">
      <c r="A16" s="89" t="s">
        <v>42</v>
      </c>
      <c r="B16" s="97"/>
      <c r="C16" s="97"/>
      <c r="D16" s="12" t="s">
        <v>87</v>
      </c>
      <c r="E16" s="12"/>
      <c r="F16" s="12"/>
      <c r="G16" s="12"/>
      <c r="H16" s="12"/>
      <c r="I16" s="12"/>
      <c r="J16" s="13"/>
    </row>
    <row r="17" spans="1:10" s="10" customFormat="1" ht="15.45" customHeight="1">
      <c r="A17" s="76" t="s">
        <v>86</v>
      </c>
      <c r="B17" s="97"/>
      <c r="C17" s="87"/>
      <c r="D17" s="97"/>
      <c r="E17" s="97"/>
      <c r="F17" s="97"/>
      <c r="G17" s="97"/>
      <c r="H17" s="97"/>
      <c r="I17" s="86"/>
      <c r="J17" s="98"/>
    </row>
    <row r="18" spans="1:10" s="10" customFormat="1" ht="15.45" customHeight="1">
      <c r="A18" s="76" t="s">
        <v>43</v>
      </c>
      <c r="B18" s="97"/>
      <c r="C18" s="87"/>
      <c r="D18" s="97"/>
      <c r="E18" s="97"/>
      <c r="F18" s="97"/>
      <c r="G18" s="97"/>
      <c r="H18" s="97"/>
      <c r="I18" s="86"/>
      <c r="J18" s="98"/>
    </row>
    <row r="19" spans="1:10" s="10" customFormat="1" ht="15.45" customHeight="1">
      <c r="A19" s="76" t="s">
        <v>92</v>
      </c>
      <c r="B19" s="97"/>
      <c r="C19" s="97"/>
      <c r="D19" s="97"/>
      <c r="E19" s="97"/>
      <c r="F19" s="97"/>
      <c r="G19" s="97"/>
      <c r="H19" s="97"/>
      <c r="I19" s="97"/>
      <c r="J19" s="98"/>
    </row>
    <row r="20" spans="1:10" s="10" customFormat="1" ht="15.45" customHeight="1">
      <c r="A20" s="23" t="s">
        <v>27</v>
      </c>
      <c r="B20" s="33"/>
      <c r="C20" s="143" t="s">
        <v>28</v>
      </c>
      <c r="D20" s="144"/>
      <c r="E20" s="144"/>
      <c r="F20" s="144"/>
      <c r="G20" s="145"/>
      <c r="H20" s="118" t="s">
        <v>82</v>
      </c>
      <c r="I20" s="34" t="s">
        <v>0</v>
      </c>
      <c r="J20" s="35" t="s">
        <v>1</v>
      </c>
    </row>
    <row r="21" spans="1:10" s="10" customFormat="1" ht="15.45" customHeight="1">
      <c r="A21" s="8"/>
      <c r="B21" s="6"/>
      <c r="C21" s="36"/>
      <c r="D21" s="37"/>
      <c r="E21" s="37"/>
      <c r="F21" s="37"/>
      <c r="G21" s="37"/>
      <c r="H21" s="6" t="s">
        <v>71</v>
      </c>
      <c r="I21" s="9"/>
      <c r="J21" s="7"/>
    </row>
    <row r="22" spans="1:10" s="10" customFormat="1" ht="15.45" customHeight="1">
      <c r="A22" s="11" t="s">
        <v>29</v>
      </c>
      <c r="B22" s="12"/>
      <c r="C22" s="149" t="s">
        <v>79</v>
      </c>
      <c r="D22" s="150"/>
      <c r="E22" s="150"/>
      <c r="F22" s="150"/>
      <c r="G22" s="150"/>
      <c r="H22" s="150"/>
      <c r="I22" s="150"/>
      <c r="J22" s="151"/>
    </row>
    <row r="23" spans="1:10" s="10" customFormat="1" ht="15.45" customHeight="1">
      <c r="A23" s="38" t="s">
        <v>30</v>
      </c>
      <c r="B23" s="39"/>
      <c r="C23" s="120" t="s">
        <v>83</v>
      </c>
      <c r="D23" s="40"/>
      <c r="E23" s="40"/>
      <c r="F23" s="40"/>
      <c r="G23" s="41"/>
      <c r="H23" s="48"/>
      <c r="I23" s="114"/>
      <c r="J23" s="115"/>
    </row>
    <row r="24" spans="1:10" s="10" customFormat="1" ht="15.45" customHeight="1">
      <c r="A24" s="11" t="s">
        <v>9</v>
      </c>
      <c r="B24" s="12"/>
      <c r="C24" s="11" t="s">
        <v>80</v>
      </c>
      <c r="D24" s="40"/>
      <c r="E24" s="40"/>
      <c r="F24" s="40"/>
      <c r="G24" s="41"/>
      <c r="H24" s="42">
        <v>495</v>
      </c>
      <c r="I24" s="114">
        <v>5.25</v>
      </c>
      <c r="J24" s="115">
        <f t="shared" ref="J24" si="0">H24*I24</f>
        <v>2598.75</v>
      </c>
    </row>
    <row r="25" spans="1:10" s="10" customFormat="1" ht="15.45" customHeight="1">
      <c r="A25" s="43" t="s">
        <v>2</v>
      </c>
      <c r="B25" s="12" t="s">
        <v>36</v>
      </c>
      <c r="C25" s="11" t="s">
        <v>81</v>
      </c>
      <c r="D25" s="12"/>
      <c r="E25" s="12"/>
      <c r="F25" s="12"/>
      <c r="G25" s="12"/>
      <c r="H25" s="42">
        <v>673</v>
      </c>
      <c r="I25" s="114">
        <v>5.25</v>
      </c>
      <c r="J25" s="115">
        <f t="shared" ref="J25" si="1">H25*I25</f>
        <v>3533.25</v>
      </c>
    </row>
    <row r="26" spans="1:10" s="10" customFormat="1" ht="15.45" customHeight="1">
      <c r="A26" s="38" t="s">
        <v>31</v>
      </c>
      <c r="B26" s="44"/>
      <c r="C26" s="11"/>
      <c r="D26" s="136"/>
      <c r="E26" s="136"/>
      <c r="F26" s="136"/>
      <c r="G26" s="136"/>
      <c r="H26" s="42"/>
      <c r="I26" s="114"/>
      <c r="J26" s="115"/>
    </row>
    <row r="27" spans="1:10" s="10" customFormat="1" ht="15.45" customHeight="1">
      <c r="A27" s="38"/>
      <c r="B27" s="44"/>
      <c r="C27" s="120"/>
      <c r="D27" s="40"/>
      <c r="E27" s="40"/>
      <c r="F27" s="40"/>
      <c r="G27" s="41"/>
      <c r="H27" s="48"/>
      <c r="I27" s="114"/>
      <c r="J27" s="115"/>
    </row>
    <row r="28" spans="1:10" s="10" customFormat="1" ht="15.45" customHeight="1">
      <c r="A28" s="38"/>
      <c r="B28" s="44"/>
      <c r="C28" s="11"/>
      <c r="D28" s="40"/>
      <c r="E28" s="40"/>
      <c r="F28" s="40"/>
      <c r="G28" s="41"/>
      <c r="H28" s="42"/>
      <c r="I28" s="114"/>
      <c r="J28" s="115"/>
    </row>
    <row r="29" spans="1:10" s="10" customFormat="1" ht="15.45" customHeight="1">
      <c r="A29" s="11"/>
      <c r="B29" s="12"/>
      <c r="C29" s="11"/>
      <c r="D29" s="12"/>
      <c r="E29" s="12"/>
      <c r="F29" s="12"/>
      <c r="G29" s="12"/>
      <c r="H29" s="48"/>
      <c r="I29" s="114"/>
      <c r="J29" s="115"/>
    </row>
    <row r="30" spans="1:10" s="10" customFormat="1" ht="15.45" customHeight="1">
      <c r="A30" s="11"/>
      <c r="B30" s="12"/>
      <c r="C30" s="11"/>
      <c r="D30" s="40"/>
      <c r="E30" s="40"/>
      <c r="F30" s="40"/>
      <c r="G30" s="41"/>
      <c r="H30" s="42"/>
      <c r="I30" s="114"/>
      <c r="J30" s="115"/>
    </row>
    <row r="31" spans="1:10" s="10" customFormat="1" ht="15.45" customHeight="1">
      <c r="A31" s="21"/>
      <c r="B31" s="22"/>
      <c r="C31" s="21"/>
      <c r="D31" s="45"/>
      <c r="E31" s="45"/>
      <c r="F31" s="45"/>
      <c r="G31" s="132"/>
      <c r="H31" s="46"/>
      <c r="I31" s="47"/>
      <c r="J31" s="116"/>
    </row>
    <row r="32" spans="1:10" s="10" customFormat="1" ht="15.45" customHeight="1">
      <c r="A32" s="11"/>
      <c r="B32" s="12"/>
      <c r="C32" s="29" t="s">
        <v>5</v>
      </c>
      <c r="D32" s="12"/>
      <c r="E32" s="12"/>
      <c r="F32" s="12"/>
      <c r="G32" s="48"/>
      <c r="H32" s="49">
        <f>SUM(H24:H31)</f>
        <v>1168</v>
      </c>
      <c r="I32" s="111"/>
      <c r="J32" s="131">
        <f>SUM(J24:J31)</f>
        <v>6132</v>
      </c>
    </row>
    <row r="33" spans="1:10" s="10" customFormat="1" ht="15.45" customHeight="1">
      <c r="A33" s="27" t="s">
        <v>84</v>
      </c>
      <c r="B33" s="12"/>
      <c r="C33" s="28"/>
      <c r="D33" s="50"/>
      <c r="E33" s="29"/>
      <c r="F33" s="12"/>
      <c r="G33" s="48"/>
      <c r="H33" s="48"/>
      <c r="I33" s="14"/>
      <c r="J33" s="51"/>
    </row>
    <row r="34" spans="1:10" s="10" customFormat="1" ht="15.45" customHeight="1">
      <c r="A34" s="27"/>
      <c r="B34" s="12"/>
      <c r="C34" s="28"/>
      <c r="D34" s="29"/>
      <c r="E34" s="29"/>
      <c r="F34" s="12"/>
      <c r="G34" s="48"/>
      <c r="H34" s="48"/>
      <c r="I34" s="14"/>
      <c r="J34" s="51"/>
    </row>
    <row r="35" spans="1:10" s="10" customFormat="1" ht="15.45" customHeight="1">
      <c r="A35" s="27" t="s">
        <v>58</v>
      </c>
      <c r="B35" s="12"/>
      <c r="C35" s="28"/>
      <c r="D35" s="52">
        <f>J32-J35</f>
        <v>5898.4</v>
      </c>
      <c r="E35" s="28"/>
      <c r="F35" s="12"/>
      <c r="G35" s="48"/>
      <c r="H35" s="53" t="s">
        <v>57</v>
      </c>
      <c r="I35" s="30"/>
      <c r="J35" s="54">
        <v>233.6</v>
      </c>
    </row>
    <row r="36" spans="1:10" s="10" customFormat="1" ht="15.45" customHeight="1">
      <c r="A36" s="27" t="s">
        <v>16</v>
      </c>
      <c r="B36" s="12"/>
      <c r="C36" s="12" t="s">
        <v>32</v>
      </c>
      <c r="D36" s="12"/>
      <c r="E36" s="53"/>
      <c r="F36" s="12"/>
      <c r="G36" s="48"/>
      <c r="H36" s="28"/>
      <c r="I36" s="29"/>
      <c r="J36" s="13"/>
    </row>
    <row r="37" spans="1:10" s="10" customFormat="1" ht="15.45" customHeight="1">
      <c r="A37" s="27"/>
      <c r="B37" s="12"/>
      <c r="C37" s="12" t="s">
        <v>17</v>
      </c>
      <c r="D37" s="12"/>
      <c r="E37" s="53"/>
      <c r="F37" s="12"/>
      <c r="G37" s="48"/>
      <c r="H37" s="28"/>
      <c r="I37" s="29"/>
      <c r="J37" s="13"/>
    </row>
    <row r="38" spans="1:10" s="10" customFormat="1" ht="15.45" customHeight="1">
      <c r="A38" s="27"/>
      <c r="B38" s="12"/>
      <c r="C38" s="12" t="s">
        <v>18</v>
      </c>
      <c r="D38" s="12"/>
      <c r="E38" s="53"/>
      <c r="F38" s="12"/>
      <c r="G38" s="48"/>
      <c r="H38" s="28"/>
      <c r="I38" s="29"/>
      <c r="J38" s="13"/>
    </row>
    <row r="39" spans="1:10" s="10" customFormat="1" ht="15.45" customHeight="1">
      <c r="A39" s="27"/>
      <c r="B39" s="12"/>
      <c r="C39" s="12" t="s">
        <v>85</v>
      </c>
      <c r="D39" s="12"/>
      <c r="E39" s="53"/>
      <c r="F39" s="12"/>
      <c r="G39" s="48"/>
      <c r="H39" s="28"/>
      <c r="I39" s="29"/>
      <c r="J39" s="13"/>
    </row>
    <row r="40" spans="1:10" s="10" customFormat="1" ht="15.45" customHeight="1">
      <c r="A40" s="27"/>
      <c r="B40" s="12"/>
      <c r="C40" s="12"/>
      <c r="D40" s="12"/>
      <c r="E40" s="53"/>
      <c r="F40" s="12"/>
      <c r="G40" s="48"/>
      <c r="H40" s="28"/>
      <c r="I40" s="29"/>
      <c r="J40" s="13"/>
    </row>
    <row r="41" spans="1:10" s="10" customFormat="1" ht="15.45" customHeight="1">
      <c r="A41" s="27" t="s">
        <v>4</v>
      </c>
      <c r="B41" s="12"/>
      <c r="C41" s="97" t="s">
        <v>88</v>
      </c>
      <c r="D41" s="97"/>
      <c r="E41" s="97"/>
      <c r="F41" s="97"/>
      <c r="G41" s="97"/>
      <c r="H41" s="97"/>
      <c r="I41" s="86"/>
      <c r="J41" s="98"/>
    </row>
    <row r="42" spans="1:10" s="10" customFormat="1" ht="15.45" customHeight="1">
      <c r="A42" s="11"/>
      <c r="B42" s="12"/>
      <c r="C42" s="12" t="s">
        <v>89</v>
      </c>
      <c r="D42" s="97"/>
      <c r="E42" s="97"/>
      <c r="F42" s="97"/>
      <c r="G42" s="97"/>
      <c r="H42" s="97"/>
      <c r="I42" s="86"/>
      <c r="J42" s="98"/>
    </row>
    <row r="43" spans="1:10" s="10" customFormat="1" ht="15.45" customHeight="1">
      <c r="A43" s="11"/>
      <c r="B43" s="12"/>
      <c r="C43" s="97" t="s">
        <v>62</v>
      </c>
      <c r="D43" s="97"/>
      <c r="E43" s="97"/>
      <c r="F43" s="97"/>
      <c r="G43" s="97"/>
      <c r="H43" s="97"/>
      <c r="I43" s="86"/>
      <c r="J43" s="98"/>
    </row>
    <row r="44" spans="1:10" s="10" customFormat="1" ht="15.45" customHeight="1">
      <c r="A44" s="11"/>
      <c r="B44" s="12"/>
      <c r="C44" s="12" t="s">
        <v>63</v>
      </c>
      <c r="D44" s="97"/>
      <c r="E44" s="97"/>
      <c r="F44" s="97"/>
      <c r="G44" s="97"/>
      <c r="H44" s="97"/>
      <c r="I44" s="86"/>
      <c r="J44" s="98"/>
    </row>
    <row r="45" spans="1:10" s="10" customFormat="1" ht="15.45" customHeight="1">
      <c r="A45" s="11"/>
      <c r="B45" s="12"/>
      <c r="C45" s="97" t="s">
        <v>55</v>
      </c>
      <c r="D45" s="12"/>
      <c r="E45" s="12"/>
      <c r="F45" s="12"/>
      <c r="G45" s="12"/>
      <c r="H45" s="12"/>
      <c r="I45" s="14"/>
      <c r="J45" s="13"/>
    </row>
    <row r="46" spans="1:10" s="10" customFormat="1" ht="15.45" customHeight="1">
      <c r="A46" s="133"/>
      <c r="B46" s="28"/>
      <c r="C46" s="28"/>
      <c r="D46" s="28"/>
      <c r="E46" s="28"/>
      <c r="F46" s="28"/>
      <c r="G46" s="28"/>
      <c r="H46" s="28"/>
      <c r="I46" s="30"/>
      <c r="J46" s="134"/>
    </row>
    <row r="47" spans="1:10" s="10" customFormat="1" ht="15.45" customHeight="1">
      <c r="A47" s="133"/>
      <c r="B47" s="28"/>
      <c r="C47" s="28"/>
      <c r="D47" s="28"/>
      <c r="E47" s="28"/>
      <c r="F47" s="28"/>
      <c r="G47" s="28"/>
      <c r="H47" s="28"/>
      <c r="I47" s="30"/>
      <c r="J47" s="134"/>
    </row>
    <row r="48" spans="1:10" ht="15.45" customHeight="1">
      <c r="A48" s="135"/>
      <c r="B48" s="136"/>
      <c r="C48" s="136"/>
      <c r="D48" s="136"/>
      <c r="E48" s="136"/>
      <c r="F48" s="136"/>
      <c r="G48" s="136"/>
      <c r="H48" s="136"/>
      <c r="I48" s="137"/>
      <c r="J48" s="138"/>
    </row>
    <row r="49" spans="1:10" ht="15.45" customHeight="1">
      <c r="A49" s="135"/>
      <c r="B49" s="136"/>
      <c r="C49" s="136"/>
      <c r="D49" s="136"/>
      <c r="E49" s="136"/>
      <c r="F49" s="136"/>
      <c r="G49" s="136"/>
      <c r="H49" s="136"/>
      <c r="I49" s="137"/>
      <c r="J49" s="138"/>
    </row>
    <row r="50" spans="1:10" ht="15.45" customHeight="1">
      <c r="A50" s="2"/>
      <c r="B50" s="3"/>
      <c r="C50" s="3"/>
      <c r="D50" s="3"/>
      <c r="E50" s="3"/>
      <c r="F50" s="3"/>
      <c r="G50" s="3"/>
      <c r="H50" s="3"/>
      <c r="I50" s="139"/>
      <c r="J50" s="4"/>
    </row>
  </sheetData>
  <mergeCells count="4">
    <mergeCell ref="A6:D6"/>
    <mergeCell ref="C20:G20"/>
    <mergeCell ref="G5:J5"/>
    <mergeCell ref="C22:J22"/>
  </mergeCells>
  <phoneticPr fontId="1" type="noConversion"/>
  <pageMargins left="0.70866141732283472" right="0.51181102362204722" top="0.59055118110236227" bottom="0.59055118110236227" header="0.31496062992125984" footer="0.1968503937007874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zoomScaleNormal="100" zoomScaleSheetLayoutView="100" workbookViewId="0">
      <selection activeCell="C12" sqref="C12"/>
    </sheetView>
  </sheetViews>
  <sheetFormatPr defaultColWidth="8.69921875" defaultRowHeight="15.6"/>
  <cols>
    <col min="1" max="1" width="8.69921875" customWidth="1"/>
    <col min="2" max="2" width="7.796875" customWidth="1"/>
    <col min="3" max="3" width="10.69921875" customWidth="1"/>
    <col min="4" max="4" width="11.59765625" customWidth="1"/>
    <col min="5" max="5" width="2.69921875" customWidth="1"/>
    <col min="6" max="6" width="2" customWidth="1"/>
    <col min="7" max="7" width="9.296875" customWidth="1"/>
    <col min="8" max="8" width="11.296875" customWidth="1"/>
    <col min="9" max="9" width="8" customWidth="1"/>
    <col min="10" max="10" width="8.09765625" style="109" customWidth="1"/>
    <col min="11" max="11" width="4.09765625" customWidth="1"/>
  </cols>
  <sheetData>
    <row r="1" spans="1:11" s="10" customFormat="1" ht="15.45" customHeight="1">
      <c r="A1" s="5" t="str">
        <f>INVOICE!A1</f>
        <v>ISSUER:</v>
      </c>
      <c r="B1" s="6"/>
      <c r="C1" s="6"/>
      <c r="D1" s="6"/>
      <c r="E1" s="6"/>
      <c r="F1" s="6"/>
      <c r="G1" s="8"/>
      <c r="H1" s="6"/>
      <c r="I1" s="6"/>
      <c r="J1" s="99"/>
      <c r="K1" s="7"/>
    </row>
    <row r="2" spans="1:11" s="10" customFormat="1" ht="15.45" customHeight="1">
      <c r="A2" s="11" t="str">
        <f>INVOICE!A2</f>
        <v>SKY NICE INTERNATIONAL TRADING LIMITED</v>
      </c>
      <c r="B2" s="12"/>
      <c r="C2" s="12"/>
      <c r="D2" s="12"/>
      <c r="E2" s="12"/>
      <c r="F2" s="12"/>
      <c r="G2" s="11"/>
      <c r="H2" s="12"/>
      <c r="I2" s="12"/>
      <c r="J2" s="100"/>
      <c r="K2" s="13"/>
    </row>
    <row r="3" spans="1:11" s="10" customFormat="1" ht="15.45" customHeight="1">
      <c r="A3" s="11" t="str">
        <f>INVOICE!A3</f>
        <v>ROOMS 1316,13/F,HOLLYWOOD PLAZA,610 NATHAN ROAD,</v>
      </c>
      <c r="B3" s="12"/>
      <c r="C3" s="12"/>
      <c r="D3" s="12"/>
      <c r="E3" s="12"/>
      <c r="F3" s="12"/>
      <c r="G3" s="11"/>
      <c r="H3" s="12"/>
      <c r="I3" s="12"/>
      <c r="J3" s="100"/>
      <c r="K3" s="13"/>
    </row>
    <row r="4" spans="1:11" s="10" customFormat="1" ht="15.45" customHeight="1">
      <c r="A4" s="21" t="str">
        <f>INVOICE!A4</f>
        <v>MONGKOK,KOWLOON,HONG KONG.</v>
      </c>
      <c r="B4" s="12"/>
      <c r="C4" s="12"/>
      <c r="D4" s="12"/>
      <c r="E4" s="12"/>
      <c r="F4" s="12"/>
      <c r="G4" s="11"/>
      <c r="H4" s="12"/>
      <c r="I4" s="12"/>
      <c r="J4" s="100"/>
      <c r="K4" s="13"/>
    </row>
    <row r="5" spans="1:11" s="10" customFormat="1" ht="15.45" customHeight="1">
      <c r="A5" s="27" t="str">
        <f>INVOICE!A5</f>
        <v>TO:</v>
      </c>
      <c r="B5" s="6"/>
      <c r="C5" s="6"/>
      <c r="D5" s="6"/>
      <c r="E5" s="6"/>
      <c r="F5" s="6"/>
      <c r="G5" s="146" t="s">
        <v>35</v>
      </c>
      <c r="H5" s="147"/>
      <c r="I5" s="147"/>
      <c r="J5" s="147"/>
      <c r="K5" s="148"/>
    </row>
    <row r="6" spans="1:11" s="10" customFormat="1" ht="15.45" customHeight="1">
      <c r="A6" s="11" t="str">
        <f>INVOICE!A6</f>
        <v>CAESAR APPARELS LIMITED</v>
      </c>
      <c r="B6" s="12"/>
      <c r="C6" s="12"/>
      <c r="D6" s="12"/>
      <c r="E6" s="12"/>
      <c r="F6" s="12"/>
      <c r="G6" s="11"/>
      <c r="H6" s="12"/>
      <c r="I6" s="12"/>
      <c r="J6" s="100"/>
      <c r="K6" s="13"/>
    </row>
    <row r="7" spans="1:11" s="10" customFormat="1" ht="15.45" customHeight="1">
      <c r="A7" s="11" t="str">
        <f>INVOICE!A7</f>
        <v>82,NASIRABAD I/A,</v>
      </c>
      <c r="B7" s="17"/>
      <c r="C7" s="17"/>
      <c r="D7" s="17"/>
      <c r="E7" s="17"/>
      <c r="F7" s="17"/>
      <c r="G7" s="19"/>
      <c r="H7" s="17"/>
      <c r="I7" s="17"/>
      <c r="J7" s="101"/>
      <c r="K7" s="18"/>
    </row>
    <row r="8" spans="1:11" s="10" customFormat="1" ht="15.45" customHeight="1">
      <c r="A8" s="11" t="str">
        <f>INVOICE!A8</f>
        <v>CHATTOGRAM-4209,BANGLADESH.</v>
      </c>
      <c r="B8" s="17"/>
      <c r="C8" s="17"/>
      <c r="D8" s="17"/>
      <c r="E8" s="17"/>
      <c r="F8" s="17"/>
      <c r="G8" s="55"/>
      <c r="H8" s="56"/>
      <c r="I8" s="56"/>
      <c r="J8" s="102"/>
      <c r="K8" s="18"/>
    </row>
    <row r="9" spans="1:11" s="10" customFormat="1" ht="15.45" customHeight="1">
      <c r="A9" s="21" t="str">
        <f>INVOICE!A9</f>
        <v>BIN/VAT REGISTRATION NO.:000319795-0505</v>
      </c>
      <c r="B9" s="22"/>
      <c r="C9" s="22"/>
      <c r="D9" s="22"/>
      <c r="E9" s="22"/>
      <c r="F9" s="15"/>
      <c r="G9" s="57" t="s">
        <v>25</v>
      </c>
      <c r="H9" s="58" t="str">
        <f>INVOICE!H9</f>
        <v>DWJ251019H</v>
      </c>
      <c r="I9" s="23" t="str">
        <f>INVOICE!I9</f>
        <v>DATE:</v>
      </c>
      <c r="J9" s="59">
        <f>INVOICE!J9</f>
        <v>45949</v>
      </c>
      <c r="K9" s="60"/>
    </row>
    <row r="10" spans="1:11" s="10" customFormat="1" ht="15.45" customHeight="1">
      <c r="A10" s="27" t="str">
        <f>INVOICE!A10</f>
        <v>SHIPMENT FROM:</v>
      </c>
      <c r="B10" s="12"/>
      <c r="C10" s="12" t="str">
        <f>INVOICE!C10</f>
        <v>SHANGHAI PORT,CHINA</v>
      </c>
      <c r="D10" s="12"/>
      <c r="E10" s="12"/>
      <c r="F10" s="12"/>
      <c r="G10" s="5" t="str">
        <f>INVOICE!G10</f>
        <v>BB LC NO.</v>
      </c>
      <c r="H10" s="61">
        <f>INVOICE!H10</f>
        <v>236025060019</v>
      </c>
      <c r="I10" s="29" t="str">
        <f>INVOICE!I10</f>
        <v>DATE:</v>
      </c>
      <c r="J10" s="156">
        <f>INVOICE!J10</f>
        <v>45944</v>
      </c>
      <c r="K10" s="157"/>
    </row>
    <row r="11" spans="1:11" s="10" customFormat="1" ht="15.45" customHeight="1">
      <c r="A11" s="27" t="str">
        <f>INVOICE!A11</f>
        <v>TO:</v>
      </c>
      <c r="B11" s="12"/>
      <c r="C11" s="12" t="str">
        <f>INVOICE!C11</f>
        <v>CHATTOGRAM,BANGLADESH</v>
      </c>
      <c r="D11" s="12"/>
      <c r="E11" s="12"/>
      <c r="F11" s="12"/>
      <c r="G11" s="27" t="str">
        <f>INVOICE!G11</f>
        <v>ISSUED BY:</v>
      </c>
      <c r="H11" s="61"/>
      <c r="I11" s="29"/>
      <c r="J11" s="103"/>
      <c r="K11" s="13"/>
    </row>
    <row r="12" spans="1:11" s="10" customFormat="1" ht="15.45" customHeight="1">
      <c r="A12" s="27" t="str">
        <f>INVOICE!A12</f>
        <v>VESSEL/VOY NO.</v>
      </c>
      <c r="B12" s="29"/>
      <c r="C12" s="12" t="str">
        <f>INVOICE!C12</f>
        <v>MAERSK BINTULU V.536A</v>
      </c>
      <c r="D12" s="12"/>
      <c r="E12" s="12"/>
      <c r="F12" s="12"/>
      <c r="G12" s="11" t="str">
        <f>INVOICE!G12</f>
        <v>TRUST BANK PLC,CDA AVENUE BRANCH,</v>
      </c>
      <c r="H12" s="12"/>
      <c r="I12" s="12"/>
      <c r="J12" s="100"/>
      <c r="K12" s="13"/>
    </row>
    <row r="13" spans="1:11" s="10" customFormat="1" ht="15.45" customHeight="1">
      <c r="A13" s="27" t="str">
        <f>INVOICE!A13</f>
        <v>B/L NO.</v>
      </c>
      <c r="B13" s="29"/>
      <c r="C13" s="12" t="str">
        <f>INVOICE!C13</f>
        <v>JSSE2516331B</v>
      </c>
      <c r="D13" s="12"/>
      <c r="E13" s="12"/>
      <c r="F13" s="12"/>
      <c r="G13" s="11" t="str">
        <f>INVOICE!G13</f>
        <v>SANMAR TOWER-1(1ST FLOOR),1850/3319,CDA AVENUE,</v>
      </c>
      <c r="H13" s="12"/>
      <c r="I13" s="12"/>
      <c r="J13" s="100"/>
      <c r="K13" s="13"/>
    </row>
    <row r="14" spans="1:11" s="10" customFormat="1" ht="15.45" customHeight="1">
      <c r="A14" s="27" t="str">
        <f>INVOICE!A14</f>
        <v>CONTAINER NO.</v>
      </c>
      <c r="B14" s="29"/>
      <c r="C14" s="12" t="str">
        <f>INVOICE!C14</f>
        <v>TCKU7262512</v>
      </c>
      <c r="D14" s="12"/>
      <c r="E14" s="12"/>
      <c r="F14" s="12"/>
      <c r="G14" s="11" t="str">
        <f>INVOICE!G14</f>
        <v>EAST NASIRABAD,CHATTOGRAM-4000,BANGLADESH.</v>
      </c>
      <c r="H14" s="12"/>
      <c r="I14" s="12"/>
      <c r="J14" s="100"/>
      <c r="K14" s="13"/>
    </row>
    <row r="15" spans="1:11" s="10" customFormat="1" ht="15.45" customHeight="1">
      <c r="A15" s="31" t="str">
        <f>INVOICE!A15</f>
        <v>SHIPPED ON BOARD:</v>
      </c>
      <c r="B15" s="32"/>
      <c r="C15" s="22" t="str">
        <f>INVOICE!C15</f>
        <v>OCT 19,2025</v>
      </c>
      <c r="D15" s="22"/>
      <c r="E15" s="22"/>
      <c r="F15" s="22"/>
      <c r="G15" s="21" t="str">
        <f>INVOICE!G15</f>
        <v>BIN NO.000215909-0101.</v>
      </c>
      <c r="H15" s="22"/>
      <c r="I15" s="22"/>
      <c r="J15" s="104"/>
      <c r="K15" s="15"/>
    </row>
    <row r="16" spans="1:11" s="10" customFormat="1" ht="15.45" customHeight="1">
      <c r="A16" s="27" t="str">
        <f>INVOICE!A16</f>
        <v>COMMODITY DESCRIPTION:</v>
      </c>
      <c r="B16" s="12"/>
      <c r="C16" s="12"/>
      <c r="D16" s="12" t="str">
        <f>INVOICE!D16</f>
        <v xml:space="preserve">FABRICS FOR READY MADE GARMENTS. ORIGIN:CHINA </v>
      </c>
      <c r="E16" s="12"/>
      <c r="F16" s="12"/>
      <c r="G16" s="12"/>
      <c r="H16" s="12"/>
      <c r="I16" s="12"/>
      <c r="J16" s="100"/>
      <c r="K16" s="13"/>
    </row>
    <row r="17" spans="1:11" s="10" customFormat="1" ht="15.45" customHeight="1">
      <c r="A17" s="11" t="str">
        <f>INVOICE!A17</f>
        <v>DELIVERY TERM:CFR CHATTOGRAM,BANGLADESH.(INCOTERMS 2020.)DESCRIPTION OF MERCHANDISE,</v>
      </c>
      <c r="B17" s="12"/>
      <c r="C17" s="12"/>
      <c r="D17" s="12"/>
      <c r="E17" s="12"/>
      <c r="F17" s="12"/>
      <c r="G17" s="12"/>
      <c r="H17" s="12"/>
      <c r="I17" s="12"/>
      <c r="J17" s="100"/>
      <c r="K17" s="13"/>
    </row>
    <row r="18" spans="1:11" s="10" customFormat="1" ht="15.45" customHeight="1">
      <c r="A18" s="11" t="str">
        <f>INVOICE!A18</f>
        <v>QUALITY,QUANTITY,UNIT PRICE AND OTHER SPECIFICATION OF GOODS ARE STRICTLY AS PER BENEFICIARY’S</v>
      </c>
      <c r="B18" s="12"/>
      <c r="C18" s="12"/>
      <c r="D18" s="12"/>
      <c r="E18" s="12"/>
      <c r="F18" s="12"/>
      <c r="G18" s="12"/>
      <c r="H18" s="12"/>
      <c r="I18" s="12"/>
      <c r="J18" s="100"/>
      <c r="K18" s="13" t="s">
        <v>3</v>
      </c>
    </row>
    <row r="19" spans="1:11" s="10" customFormat="1" ht="15.45" customHeight="1">
      <c r="A19" s="11" t="str">
        <f>INVOICE!A19</f>
        <v>PROFORMA INVOICE NO.:JSC/PFA/CAL/25159 DATED 16.09.2025 AND SIGNED BETWEEN BUYER AND SELLER.</v>
      </c>
      <c r="B19" s="12"/>
      <c r="C19" s="12"/>
      <c r="D19" s="12"/>
      <c r="E19" s="12"/>
      <c r="F19" s="12"/>
      <c r="G19" s="12"/>
      <c r="H19" s="12"/>
      <c r="I19" s="12"/>
      <c r="J19" s="100"/>
      <c r="K19" s="13"/>
    </row>
    <row r="20" spans="1:11" s="10" customFormat="1" ht="15.45" customHeight="1">
      <c r="A20" s="155" t="str">
        <f>INVOICE!A20</f>
        <v xml:space="preserve">      Shipping Mark</v>
      </c>
      <c r="B20" s="155"/>
      <c r="C20" s="152" t="str">
        <f>INVOICE!C20</f>
        <v>Description of Goods</v>
      </c>
      <c r="D20" s="153"/>
      <c r="E20" s="153"/>
      <c r="F20" s="154"/>
      <c r="G20" s="110" t="s">
        <v>7</v>
      </c>
      <c r="H20" s="110" t="str">
        <f>INVOICE!H20</f>
        <v>Quantity(Kgs)</v>
      </c>
      <c r="I20" s="110" t="s">
        <v>12</v>
      </c>
      <c r="J20" s="105" t="s">
        <v>8</v>
      </c>
      <c r="K20" s="110" t="s">
        <v>34</v>
      </c>
    </row>
    <row r="21" spans="1:11" s="10" customFormat="1" ht="15.45" customHeight="1">
      <c r="A21" s="8"/>
      <c r="B21" s="7"/>
      <c r="C21" s="8"/>
      <c r="D21" s="12"/>
      <c r="E21" s="12"/>
      <c r="F21" s="12"/>
      <c r="G21" s="12"/>
      <c r="H21" s="12"/>
      <c r="I21" s="12"/>
      <c r="J21" s="100"/>
      <c r="K21" s="13"/>
    </row>
    <row r="22" spans="1:11" s="10" customFormat="1" ht="15.45" customHeight="1">
      <c r="A22" s="11" t="str">
        <f>INVOICE!A22</f>
        <v>CAESAR APPARELS</v>
      </c>
      <c r="B22" s="62"/>
      <c r="C22" s="11" t="str">
        <f>INVOICE!C22</f>
        <v>95% RECYCLED POLYESTER 5% ELASTANE AOP KNIT SINGLE JERSEY FABRIC</v>
      </c>
      <c r="D22" s="12"/>
      <c r="E22" s="12"/>
      <c r="F22" s="12"/>
      <c r="G22" s="12"/>
      <c r="H22" s="48"/>
      <c r="I22" s="17"/>
      <c r="J22" s="101"/>
      <c r="K22" s="63"/>
    </row>
    <row r="23" spans="1:11" s="10" customFormat="1" ht="15.45" customHeight="1">
      <c r="A23" s="11" t="str">
        <f>INVOICE!A23</f>
        <v>LTD.</v>
      </c>
      <c r="B23" s="62"/>
      <c r="C23" s="11" t="str">
        <f>INVOICE!C23</f>
        <v>CW:60" WEIGHT:170-180GSM STYLE# 7024625 ORDER NO.103956933</v>
      </c>
      <c r="D23" s="12"/>
      <c r="E23" s="12"/>
      <c r="F23" s="48"/>
      <c r="G23" s="48"/>
      <c r="H23" s="48"/>
      <c r="I23" s="48"/>
      <c r="J23" s="93"/>
      <c r="K23" s="63"/>
    </row>
    <row r="24" spans="1:11" s="10" customFormat="1" ht="15.45" customHeight="1">
      <c r="A24" s="11" t="str">
        <f>INVOICE!A24</f>
        <v>COL.</v>
      </c>
      <c r="B24" s="62"/>
      <c r="C24" s="11" t="str">
        <f>INVOICE!C24</f>
        <v>BLUE FLOWER AOP</v>
      </c>
      <c r="D24" s="28"/>
      <c r="E24" s="28"/>
      <c r="F24" s="28"/>
      <c r="G24" s="48">
        <v>21</v>
      </c>
      <c r="H24" s="48">
        <f>INVOICE!H24</f>
        <v>495</v>
      </c>
      <c r="I24" s="64">
        <v>505</v>
      </c>
      <c r="J24" s="93">
        <v>495</v>
      </c>
      <c r="K24" s="65">
        <v>1.7</v>
      </c>
    </row>
    <row r="25" spans="1:11" s="10" customFormat="1" ht="15.45" customHeight="1">
      <c r="A25" s="11" t="str">
        <f>INVOICE!A25</f>
        <v xml:space="preserve">ROLL NO:    </v>
      </c>
      <c r="B25" s="13" t="str">
        <f>INVOICE!B25</f>
        <v>QNTY:</v>
      </c>
      <c r="C25" s="11" t="str">
        <f>INVOICE!C25</f>
        <v>GREEN FLOWER AOP</v>
      </c>
      <c r="D25" s="12"/>
      <c r="E25" s="12"/>
      <c r="F25" s="48"/>
      <c r="G25" s="48">
        <v>29</v>
      </c>
      <c r="H25" s="48">
        <f>INVOICE!H25</f>
        <v>673</v>
      </c>
      <c r="I25" s="64">
        <v>688</v>
      </c>
      <c r="J25" s="93">
        <v>673</v>
      </c>
      <c r="K25" s="65">
        <v>2.2999999999999998</v>
      </c>
    </row>
    <row r="26" spans="1:11" s="10" customFormat="1" ht="15.45" customHeight="1">
      <c r="A26" s="11" t="str">
        <f>INVOICE!A26</f>
        <v xml:space="preserve">MADE IN CHINA </v>
      </c>
      <c r="B26" s="13"/>
      <c r="C26" s="11"/>
      <c r="D26" s="12"/>
      <c r="E26" s="12"/>
      <c r="F26" s="12"/>
      <c r="G26" s="48"/>
      <c r="H26" s="48"/>
      <c r="I26" s="64"/>
      <c r="J26" s="93"/>
      <c r="K26" s="65"/>
    </row>
    <row r="27" spans="1:11" s="10" customFormat="1" ht="15.45" customHeight="1">
      <c r="A27" s="11"/>
      <c r="B27" s="13"/>
      <c r="C27" s="11"/>
      <c r="D27" s="12"/>
      <c r="E27" s="12"/>
      <c r="F27" s="12"/>
      <c r="G27" s="48"/>
      <c r="H27" s="48"/>
      <c r="I27" s="64"/>
      <c r="J27" s="119"/>
      <c r="K27" s="65"/>
    </row>
    <row r="28" spans="1:11" s="10" customFormat="1" ht="15.45" customHeight="1">
      <c r="A28" s="11"/>
      <c r="B28" s="13"/>
      <c r="C28" s="11"/>
      <c r="D28" s="12"/>
      <c r="E28" s="12"/>
      <c r="F28" s="12"/>
      <c r="G28" s="48"/>
      <c r="H28" s="48"/>
      <c r="I28" s="64"/>
      <c r="J28" s="119"/>
      <c r="K28" s="65"/>
    </row>
    <row r="29" spans="1:11" s="10" customFormat="1" ht="15.45" customHeight="1">
      <c r="A29" s="11"/>
      <c r="B29" s="12"/>
      <c r="C29" s="11"/>
      <c r="D29" s="12"/>
      <c r="E29" s="12"/>
      <c r="F29" s="12"/>
      <c r="G29" s="48"/>
      <c r="H29" s="48"/>
      <c r="I29" s="64"/>
      <c r="J29" s="119"/>
      <c r="K29" s="65"/>
    </row>
    <row r="30" spans="1:11" s="10" customFormat="1" ht="15.45" customHeight="1">
      <c r="A30" s="11"/>
      <c r="B30" s="12"/>
      <c r="C30" s="11"/>
      <c r="D30" s="12"/>
      <c r="E30" s="12"/>
      <c r="F30" s="12"/>
      <c r="G30" s="48"/>
      <c r="H30" s="48"/>
      <c r="I30" s="64"/>
      <c r="J30" s="119"/>
      <c r="K30" s="65"/>
    </row>
    <row r="31" spans="1:11" s="10" customFormat="1" ht="15.45" customHeight="1">
      <c r="A31" s="21"/>
      <c r="B31" s="22"/>
      <c r="C31" s="21"/>
      <c r="D31" s="22"/>
      <c r="E31" s="22"/>
      <c r="F31" s="22"/>
      <c r="G31" s="66"/>
      <c r="H31" s="66"/>
      <c r="I31" s="67"/>
      <c r="J31" s="94"/>
      <c r="K31" s="92"/>
    </row>
    <row r="32" spans="1:11" s="10" customFormat="1" ht="15.45" customHeight="1">
      <c r="A32" s="11"/>
      <c r="B32" s="12"/>
      <c r="C32" s="29" t="s">
        <v>5</v>
      </c>
      <c r="D32" s="12"/>
      <c r="E32" s="12"/>
      <c r="F32" s="12"/>
      <c r="G32" s="49">
        <f>SUM(G24:G29)</f>
        <v>50</v>
      </c>
      <c r="H32" s="140">
        <f>SUM(H24:H29)</f>
        <v>1168</v>
      </c>
      <c r="I32" s="140">
        <f>SUM(I24:I29)</f>
        <v>1193</v>
      </c>
      <c r="J32" s="140">
        <f>SUM(J24:J29)</f>
        <v>1168</v>
      </c>
      <c r="K32" s="121">
        <f>SUM(K24:K31)</f>
        <v>4</v>
      </c>
    </row>
    <row r="33" spans="1:11" s="10" customFormat="1" ht="15.45" customHeight="1">
      <c r="A33" s="113" t="s">
        <v>90</v>
      </c>
      <c r="B33" s="12"/>
      <c r="C33" s="29"/>
      <c r="D33" s="12"/>
      <c r="E33" s="12"/>
      <c r="F33" s="12"/>
      <c r="G33" s="49"/>
      <c r="H33" s="49"/>
      <c r="I33" s="49"/>
      <c r="J33" s="106"/>
      <c r="K33" s="68"/>
    </row>
    <row r="34" spans="1:11" s="10" customFormat="1" ht="15.45" customHeight="1">
      <c r="A34" s="69" t="s">
        <v>6</v>
      </c>
      <c r="B34" s="12"/>
      <c r="C34" s="12" t="s">
        <v>19</v>
      </c>
      <c r="D34" s="40"/>
      <c r="E34" s="12"/>
      <c r="F34" s="12"/>
      <c r="G34" s="12"/>
      <c r="H34" s="12"/>
      <c r="I34" s="12"/>
      <c r="J34" s="100"/>
      <c r="K34" s="13"/>
    </row>
    <row r="35" spans="1:11" s="10" customFormat="1" ht="15.45" customHeight="1">
      <c r="A35" s="69"/>
      <c r="B35" s="12"/>
      <c r="C35" s="12"/>
      <c r="D35" s="40"/>
      <c r="E35" s="12"/>
      <c r="F35" s="12"/>
      <c r="G35" s="12"/>
      <c r="H35" s="12"/>
      <c r="I35" s="12"/>
      <c r="J35" s="100"/>
      <c r="K35" s="13"/>
    </row>
    <row r="36" spans="1:11" s="10" customFormat="1" ht="15.45" customHeight="1">
      <c r="A36" s="27" t="str">
        <f>INVOICE!A41</f>
        <v>REFERENCE:</v>
      </c>
      <c r="B36" s="40"/>
      <c r="C36" s="12" t="str">
        <f>INVOICE!C41</f>
        <v>IMPORT UNDER IRC NO.:BA-0164952(OLD),NEW:260315120051220,</v>
      </c>
      <c r="D36" s="12"/>
      <c r="E36" s="12"/>
      <c r="F36" s="12"/>
      <c r="G36" s="12"/>
      <c r="H36" s="12"/>
      <c r="I36" s="12"/>
      <c r="J36" s="100"/>
      <c r="K36" s="13"/>
    </row>
    <row r="37" spans="1:11" s="10" customFormat="1" ht="15.45" customHeight="1">
      <c r="A37" s="11"/>
      <c r="B37" s="40"/>
      <c r="C37" s="12" t="str">
        <f>INVOICE!C42</f>
        <v>TIN NO.:789197699253/CIRCLE-68,H.S.CODE NO.6004.10.00</v>
      </c>
      <c r="D37" s="12"/>
      <c r="E37" s="12"/>
      <c r="F37" s="12"/>
      <c r="G37" s="12"/>
      <c r="H37" s="12"/>
      <c r="I37" s="12"/>
      <c r="J37" s="100"/>
      <c r="K37" s="13"/>
    </row>
    <row r="38" spans="1:11" s="10" customFormat="1" ht="15.45" customHeight="1">
      <c r="A38" s="11"/>
      <c r="B38" s="40"/>
      <c r="C38" s="12" t="str">
        <f>INVOICE!C43</f>
        <v>EXPORT LC NO.ELLOS/CAESAR/001/2025 DATED 01.01.2025</v>
      </c>
      <c r="D38" s="12"/>
      <c r="E38" s="12"/>
      <c r="F38" s="12"/>
      <c r="G38" s="12"/>
      <c r="H38" s="12"/>
      <c r="I38" s="12"/>
      <c r="J38" s="100"/>
      <c r="K38" s="13"/>
    </row>
    <row r="39" spans="1:11" s="10" customFormat="1" ht="15.45" customHeight="1">
      <c r="A39" s="11"/>
      <c r="B39" s="40"/>
      <c r="C39" s="12" t="str">
        <f>INVOICE!C44</f>
        <v>REF:CA-300/TB/DEC-24/EL/AW25/SN 01/PAL/HAS</v>
      </c>
      <c r="D39" s="12"/>
      <c r="E39" s="12"/>
      <c r="F39" s="12"/>
      <c r="G39" s="12"/>
      <c r="H39" s="12"/>
      <c r="I39" s="12"/>
      <c r="J39" s="100"/>
      <c r="K39" s="13"/>
    </row>
    <row r="40" spans="1:11" s="10" customFormat="1" ht="15.45" customHeight="1">
      <c r="A40" s="11"/>
      <c r="B40" s="40"/>
      <c r="C40" s="12" t="str">
        <f>INVOICE!C45</f>
        <v>SHIPMENT UNDER BONDED WAREHOUSE LICENCE.</v>
      </c>
      <c r="D40" s="12"/>
      <c r="E40" s="12"/>
      <c r="F40" s="12"/>
      <c r="G40" s="12"/>
      <c r="H40" s="12"/>
      <c r="I40" s="12"/>
      <c r="J40" s="100"/>
      <c r="K40" s="13"/>
    </row>
    <row r="41" spans="1:11" s="10" customFormat="1" ht="15.45" customHeight="1">
      <c r="A41" s="11"/>
      <c r="B41" s="40"/>
      <c r="C41" s="12"/>
      <c r="D41" s="12"/>
      <c r="E41" s="12"/>
      <c r="F41" s="12"/>
      <c r="G41" s="12"/>
      <c r="H41" s="12"/>
      <c r="I41" s="12"/>
      <c r="J41" s="100"/>
      <c r="K41" s="13"/>
    </row>
    <row r="42" spans="1:11" s="10" customFormat="1" ht="15.45" customHeight="1">
      <c r="A42" s="11"/>
      <c r="B42" s="40"/>
      <c r="C42" s="12"/>
      <c r="D42" s="12"/>
      <c r="E42" s="12"/>
      <c r="F42" s="12"/>
      <c r="G42" s="12"/>
      <c r="H42" s="12"/>
      <c r="I42" s="12"/>
      <c r="J42" s="100"/>
      <c r="K42" s="13"/>
    </row>
    <row r="43" spans="1:11" s="10" customFormat="1" ht="15.45" customHeight="1">
      <c r="A43" s="11"/>
      <c r="B43" s="40"/>
      <c r="C43" s="12"/>
      <c r="D43" s="12"/>
      <c r="E43" s="12"/>
      <c r="F43" s="12"/>
      <c r="G43" s="12"/>
      <c r="H43" s="12"/>
      <c r="I43" s="12"/>
      <c r="J43" s="100"/>
      <c r="K43" s="13"/>
    </row>
    <row r="44" spans="1:11" s="10" customFormat="1" ht="15.45" customHeight="1">
      <c r="A44" s="11"/>
      <c r="B44" s="40"/>
      <c r="C44" s="12"/>
      <c r="D44" s="12"/>
      <c r="E44" s="12"/>
      <c r="F44" s="12"/>
      <c r="G44" s="12"/>
      <c r="H44" s="12"/>
      <c r="I44" s="12"/>
      <c r="J44" s="100"/>
      <c r="K44" s="13"/>
    </row>
    <row r="45" spans="1:11" s="10" customFormat="1" ht="15.45" customHeight="1">
      <c r="A45" s="11"/>
      <c r="B45" s="40"/>
      <c r="C45" s="12"/>
      <c r="D45" s="12"/>
      <c r="E45" s="12"/>
      <c r="F45" s="12"/>
      <c r="G45" s="12"/>
      <c r="H45" s="12"/>
      <c r="I45" s="12"/>
      <c r="J45" s="100"/>
      <c r="K45" s="13"/>
    </row>
    <row r="46" spans="1:11" s="10" customFormat="1" ht="15.45" customHeight="1">
      <c r="A46" s="11"/>
      <c r="B46" s="40"/>
      <c r="C46" s="12"/>
      <c r="D46" s="12"/>
      <c r="E46" s="12"/>
      <c r="F46" s="12"/>
      <c r="G46" s="12"/>
      <c r="H46" s="12"/>
      <c r="I46" s="12"/>
      <c r="J46" s="100"/>
      <c r="K46" s="13"/>
    </row>
    <row r="47" spans="1:11" s="10" customFormat="1" ht="15.45" customHeight="1">
      <c r="A47" s="11"/>
      <c r="B47" s="40"/>
      <c r="C47" s="12"/>
      <c r="D47" s="12"/>
      <c r="E47" s="12"/>
      <c r="F47" s="12"/>
      <c r="G47" s="12"/>
      <c r="H47" s="12"/>
      <c r="I47" s="12"/>
      <c r="J47" s="100"/>
      <c r="K47" s="13"/>
    </row>
    <row r="48" spans="1:11" s="10" customFormat="1" ht="15.45" customHeight="1">
      <c r="A48" s="11"/>
      <c r="B48" s="40"/>
      <c r="C48" s="12"/>
      <c r="D48" s="12"/>
      <c r="E48" s="12"/>
      <c r="F48" s="12"/>
      <c r="G48" s="12"/>
      <c r="H48" s="12"/>
      <c r="I48" s="12"/>
      <c r="J48" s="100"/>
      <c r="K48" s="13"/>
    </row>
    <row r="49" spans="1:11" s="10" customFormat="1" ht="15.45" customHeight="1">
      <c r="A49" s="11"/>
      <c r="B49" s="40"/>
      <c r="C49" s="12"/>
      <c r="D49" s="12"/>
      <c r="E49" s="12"/>
      <c r="F49" s="12"/>
      <c r="G49" s="12"/>
      <c r="H49" s="12"/>
      <c r="I49" s="12"/>
      <c r="J49" s="100"/>
      <c r="K49" s="13"/>
    </row>
    <row r="50" spans="1:11" s="10" customFormat="1" ht="15.45" customHeight="1">
      <c r="A50" s="21"/>
      <c r="B50" s="22"/>
      <c r="C50" s="22"/>
      <c r="D50" s="22"/>
      <c r="E50" s="22"/>
      <c r="F50" s="22"/>
      <c r="G50" s="22"/>
      <c r="H50" s="22"/>
      <c r="I50" s="22"/>
      <c r="J50" s="104"/>
      <c r="K50" s="15"/>
    </row>
    <row r="51" spans="1:11" s="10" customFormat="1" ht="15.45" customHeight="1">
      <c r="A51" s="70"/>
      <c r="B51" s="70"/>
      <c r="C51" s="70"/>
      <c r="D51" s="70"/>
      <c r="E51" s="70"/>
      <c r="F51" s="70"/>
      <c r="G51" s="70"/>
      <c r="H51" s="70"/>
      <c r="I51" s="70"/>
      <c r="J51" s="107"/>
      <c r="K51" s="70"/>
    </row>
    <row r="52" spans="1:11" s="10" customFormat="1" ht="15.45" customHeight="1">
      <c r="A52" s="70"/>
      <c r="B52" s="70"/>
      <c r="C52" s="70"/>
      <c r="D52" s="70"/>
      <c r="E52" s="70"/>
      <c r="F52" s="70"/>
      <c r="G52" s="70"/>
      <c r="H52" s="70"/>
      <c r="I52" s="70"/>
      <c r="J52" s="107"/>
      <c r="K52" s="70"/>
    </row>
    <row r="53" spans="1:11" s="10" customFormat="1" ht="15.45" customHeight="1">
      <c r="A53" s="70"/>
      <c r="B53" s="70"/>
      <c r="C53" s="70"/>
      <c r="D53" s="70"/>
      <c r="E53" s="70"/>
      <c r="F53" s="70"/>
      <c r="G53" s="70"/>
      <c r="H53" s="70"/>
      <c r="I53" s="70"/>
      <c r="J53" s="107"/>
      <c r="K53" s="70"/>
    </row>
    <row r="54" spans="1:11" s="10" customFormat="1" ht="15.45" customHeight="1">
      <c r="A54" s="70"/>
      <c r="B54" s="70"/>
      <c r="C54" s="70"/>
      <c r="D54" s="70"/>
      <c r="E54" s="70"/>
      <c r="F54" s="70"/>
      <c r="G54" s="70"/>
      <c r="H54" s="70"/>
      <c r="I54" s="70"/>
      <c r="J54" s="107"/>
      <c r="K54" s="70"/>
    </row>
    <row r="55" spans="1:11" s="10" customFormat="1" ht="15.45" customHeight="1">
      <c r="A55" s="70"/>
      <c r="B55" s="70"/>
      <c r="C55" s="70"/>
      <c r="D55" s="70"/>
      <c r="E55" s="70"/>
      <c r="F55" s="70"/>
      <c r="G55" s="70"/>
      <c r="H55" s="70"/>
      <c r="I55" s="70"/>
      <c r="J55" s="107"/>
      <c r="K55" s="70"/>
    </row>
    <row r="56" spans="1:11" s="10" customFormat="1" ht="15.45" customHeight="1">
      <c r="A56" s="70"/>
      <c r="B56" s="70"/>
      <c r="C56" s="70"/>
      <c r="D56" s="70"/>
      <c r="E56" s="70"/>
      <c r="F56" s="70"/>
      <c r="G56" s="70"/>
      <c r="H56" s="70"/>
      <c r="I56" s="70"/>
      <c r="J56" s="107"/>
      <c r="K56" s="70"/>
    </row>
    <row r="57" spans="1:11" s="10" customFormat="1" ht="15.45" customHeight="1">
      <c r="A57" s="70"/>
      <c r="B57" s="70"/>
      <c r="C57" s="70"/>
      <c r="D57" s="70"/>
      <c r="E57" s="70"/>
      <c r="F57" s="70"/>
      <c r="G57" s="70"/>
      <c r="H57" s="70"/>
      <c r="I57" s="70"/>
      <c r="J57" s="107"/>
      <c r="K57" s="70"/>
    </row>
    <row r="58" spans="1:11" s="10" customFormat="1" ht="15.45" customHeight="1">
      <c r="A58" s="70"/>
      <c r="B58" s="70"/>
      <c r="C58" s="70"/>
      <c r="D58" s="70"/>
      <c r="E58" s="70"/>
      <c r="F58" s="70"/>
      <c r="G58" s="70"/>
      <c r="H58" s="70"/>
      <c r="I58" s="70"/>
      <c r="J58" s="107"/>
      <c r="K58" s="70"/>
    </row>
    <row r="59" spans="1:11" s="10" customFormat="1" ht="15.45" customHeight="1">
      <c r="A59" s="70"/>
      <c r="B59" s="70"/>
      <c r="C59" s="70"/>
      <c r="D59" s="70"/>
      <c r="E59" s="70"/>
      <c r="F59" s="70"/>
      <c r="G59" s="70"/>
      <c r="H59" s="70"/>
      <c r="I59" s="70"/>
      <c r="J59" s="107"/>
      <c r="K59" s="70"/>
    </row>
    <row r="60" spans="1:11" s="10" customFormat="1" ht="15.45" customHeight="1">
      <c r="A60" s="70"/>
      <c r="B60" s="70"/>
      <c r="C60" s="70"/>
      <c r="D60" s="70"/>
      <c r="E60" s="70"/>
      <c r="F60" s="70"/>
      <c r="G60" s="70"/>
      <c r="H60" s="70"/>
      <c r="I60" s="70"/>
      <c r="J60" s="107"/>
      <c r="K60" s="70"/>
    </row>
    <row r="61" spans="1:11" s="10" customFormat="1" ht="15.45" customHeight="1">
      <c r="J61" s="108"/>
    </row>
    <row r="62" spans="1:11" s="10" customFormat="1" ht="15.45" customHeight="1">
      <c r="J62" s="108"/>
    </row>
    <row r="63" spans="1:11" ht="15.45" customHeight="1"/>
    <row r="64" spans="1:11" ht="15.45" customHeight="1"/>
    <row r="65" ht="15.45" customHeight="1"/>
    <row r="66" ht="15.45" customHeight="1"/>
    <row r="67" ht="15.45" customHeight="1"/>
    <row r="68" ht="15.45" customHeight="1"/>
    <row r="69" ht="15.45" customHeight="1"/>
    <row r="70" ht="15.45" customHeight="1"/>
    <row r="71" ht="15.45" customHeight="1"/>
    <row r="72" ht="15.45" customHeight="1"/>
    <row r="73" ht="15.45" customHeight="1"/>
    <row r="74" ht="15.45" customHeight="1"/>
  </sheetData>
  <mergeCells count="4">
    <mergeCell ref="C20:F20"/>
    <mergeCell ref="A20:B20"/>
    <mergeCell ref="G5:K5"/>
    <mergeCell ref="J10:K10"/>
  </mergeCells>
  <phoneticPr fontId="1" type="noConversion"/>
  <pageMargins left="0.70866141732283472" right="0.51181102362204722" top="0.59055118110236227" bottom="0.59055118110236227" header="0.31496062992125984" footer="0.31496062992125984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"/>
  <sheetViews>
    <sheetView workbookViewId="0">
      <selection activeCell="G16" sqref="G16"/>
    </sheetView>
  </sheetViews>
  <sheetFormatPr defaultRowHeight="15.6"/>
  <cols>
    <col min="2" max="2" width="7.69921875" customWidth="1"/>
    <col min="5" max="5" width="7.09765625" customWidth="1"/>
    <col min="6" max="6" width="1.8984375" customWidth="1"/>
    <col min="7" max="7" width="9.69921875" customWidth="1"/>
    <col min="8" max="8" width="11.69921875" customWidth="1"/>
    <col min="9" max="9" width="7.3984375" customWidth="1"/>
    <col min="10" max="10" width="7.796875" customWidth="1"/>
    <col min="11" max="11" width="4.296875" style="109" customWidth="1"/>
  </cols>
  <sheetData>
    <row r="1" spans="1:11" ht="15.45" customHeight="1">
      <c r="A1" s="5" t="str">
        <f>INVOICE!A1</f>
        <v>ISSUER:</v>
      </c>
      <c r="B1" s="6"/>
      <c r="C1" s="6"/>
      <c r="D1" s="6"/>
      <c r="E1" s="6"/>
      <c r="F1" s="6"/>
      <c r="G1" s="8"/>
      <c r="H1" s="6"/>
      <c r="I1" s="6"/>
      <c r="J1" s="6"/>
      <c r="K1" s="122"/>
    </row>
    <row r="2" spans="1:11" ht="15.45" customHeight="1">
      <c r="A2" s="11" t="str">
        <f>INVOICE!A2</f>
        <v>SKY NICE INTERNATIONAL TRADING LIMITED</v>
      </c>
      <c r="B2" s="12"/>
      <c r="C2" s="12"/>
      <c r="D2" s="12"/>
      <c r="E2" s="12"/>
      <c r="F2" s="12"/>
      <c r="G2" s="11"/>
      <c r="H2" s="12"/>
      <c r="I2" s="12"/>
      <c r="J2" s="12"/>
      <c r="K2" s="123"/>
    </row>
    <row r="3" spans="1:11" ht="15.45" customHeight="1">
      <c r="A3" s="11" t="str">
        <f>INVOICE!A3</f>
        <v>ROOMS 1316,13/F,HOLLYWOOD PLAZA,610 NATHAN ROAD,</v>
      </c>
      <c r="B3" s="12"/>
      <c r="C3" s="12"/>
      <c r="D3" s="12"/>
      <c r="E3" s="12"/>
      <c r="F3" s="12"/>
      <c r="G3" s="11"/>
      <c r="H3" s="12"/>
      <c r="I3" s="12"/>
      <c r="J3" s="12"/>
      <c r="K3" s="123"/>
    </row>
    <row r="4" spans="1:11" ht="15.45" customHeight="1">
      <c r="A4" s="21" t="str">
        <f>INVOICE!A4</f>
        <v>MONGKOK,KOWLOON,HONG KONG.</v>
      </c>
      <c r="B4" s="12"/>
      <c r="C4" s="12"/>
      <c r="D4" s="12"/>
      <c r="E4" s="12"/>
      <c r="F4" s="12"/>
      <c r="G4" s="11"/>
      <c r="H4" s="12"/>
      <c r="I4" s="12"/>
      <c r="J4" s="12"/>
      <c r="K4" s="123"/>
    </row>
    <row r="5" spans="1:11" ht="15.45" customHeight="1">
      <c r="A5" s="27" t="str">
        <f>INVOICE!A5</f>
        <v>TO:</v>
      </c>
      <c r="B5" s="6"/>
      <c r="C5" s="6"/>
      <c r="D5" s="6"/>
      <c r="E5" s="6"/>
      <c r="F5" s="6"/>
      <c r="G5" s="158" t="s">
        <v>48</v>
      </c>
      <c r="H5" s="159"/>
      <c r="I5" s="159"/>
      <c r="J5" s="159"/>
      <c r="K5" s="160"/>
    </row>
    <row r="6" spans="1:11" ht="15.45" customHeight="1">
      <c r="A6" s="11" t="str">
        <f>INVOICE!A6</f>
        <v>CAESAR APPARELS LIMITED</v>
      </c>
      <c r="B6" s="12"/>
      <c r="C6" s="12"/>
      <c r="D6" s="12"/>
      <c r="E6" s="12"/>
      <c r="F6" s="12"/>
      <c r="G6" s="11"/>
      <c r="H6" s="12"/>
      <c r="I6" s="12"/>
      <c r="J6" s="12"/>
      <c r="K6" s="123"/>
    </row>
    <row r="7" spans="1:11" ht="15.45" customHeight="1">
      <c r="A7" s="11" t="str">
        <f>INVOICE!A7</f>
        <v>82,NASIRABAD I/A,</v>
      </c>
      <c r="B7" s="17"/>
      <c r="C7" s="17"/>
      <c r="D7" s="17"/>
      <c r="E7" s="17"/>
      <c r="F7" s="17"/>
      <c r="G7" s="19"/>
      <c r="H7" s="17"/>
      <c r="I7" s="17"/>
      <c r="J7" s="17"/>
      <c r="K7" s="124"/>
    </row>
    <row r="8" spans="1:11" ht="15.45" customHeight="1">
      <c r="A8" s="11" t="str">
        <f>INVOICE!A8</f>
        <v>CHATTOGRAM-4209,BANGLADESH.</v>
      </c>
      <c r="B8" s="17"/>
      <c r="C8" s="17"/>
      <c r="D8" s="17"/>
      <c r="E8" s="17"/>
      <c r="F8" s="17"/>
      <c r="G8" s="55"/>
      <c r="H8" s="56"/>
      <c r="I8" s="56"/>
      <c r="J8" s="56"/>
      <c r="K8" s="124"/>
    </row>
    <row r="9" spans="1:11" ht="15.45" customHeight="1">
      <c r="A9" s="21" t="str">
        <f>INVOICE!A9</f>
        <v>BIN/VAT REGISTRATION NO.:000319795-0505</v>
      </c>
      <c r="B9" s="22"/>
      <c r="C9" s="22"/>
      <c r="D9" s="22"/>
      <c r="E9" s="22"/>
      <c r="F9" s="15"/>
      <c r="G9" s="57" t="s">
        <v>25</v>
      </c>
      <c r="H9" s="58" t="str">
        <f>INVOICE!H9</f>
        <v>DWJ251019H</v>
      </c>
      <c r="I9" s="23" t="str">
        <f>INVOICE!I9</f>
        <v>DATE:</v>
      </c>
      <c r="J9" s="59">
        <f>INVOICE!J9</f>
        <v>45949</v>
      </c>
      <c r="K9" s="125"/>
    </row>
    <row r="10" spans="1:11" ht="15.45" customHeight="1">
      <c r="A10" s="27" t="str">
        <f>INVOICE!A10</f>
        <v>SHIPMENT FROM:</v>
      </c>
      <c r="B10" s="12"/>
      <c r="C10" s="12" t="str">
        <f>INVOICE!C10</f>
        <v>SHANGHAI PORT,CHINA</v>
      </c>
      <c r="D10" s="12"/>
      <c r="E10" s="12"/>
      <c r="F10" s="12"/>
      <c r="G10" s="5" t="str">
        <f>INVOICE!G10</f>
        <v>BB LC NO.</v>
      </c>
      <c r="H10" s="61">
        <f>INVOICE!H10</f>
        <v>236025060019</v>
      </c>
      <c r="I10" s="29" t="str">
        <f>INVOICE!I10</f>
        <v>DATE:</v>
      </c>
      <c r="J10" s="156">
        <f>INVOICE!J10</f>
        <v>45944</v>
      </c>
      <c r="K10" s="157"/>
    </row>
    <row r="11" spans="1:11" ht="15.45" customHeight="1">
      <c r="A11" s="27" t="str">
        <f>INVOICE!A11</f>
        <v>TO:</v>
      </c>
      <c r="B11" s="12"/>
      <c r="C11" s="12" t="str">
        <f>INVOICE!C11</f>
        <v>CHATTOGRAM,BANGLADESH</v>
      </c>
      <c r="D11" s="12"/>
      <c r="E11" s="12"/>
      <c r="F11" s="12"/>
      <c r="G11" s="27" t="str">
        <f>INVOICE!G11</f>
        <v>ISSUED BY:</v>
      </c>
      <c r="H11" s="61"/>
      <c r="I11" s="29"/>
      <c r="J11" s="29"/>
      <c r="K11" s="123"/>
    </row>
    <row r="12" spans="1:11" ht="15.45" customHeight="1">
      <c r="A12" s="27" t="str">
        <f>INVOICE!A12</f>
        <v>VESSEL/VOY NO.</v>
      </c>
      <c r="B12" s="29"/>
      <c r="C12" s="12" t="str">
        <f>INVOICE!C12</f>
        <v>MAERSK BINTULU V.536A</v>
      </c>
      <c r="D12" s="12"/>
      <c r="E12" s="12"/>
      <c r="F12" s="12"/>
      <c r="G12" s="11" t="str">
        <f>INVOICE!G12</f>
        <v>TRUST BANK PLC,CDA AVENUE BRANCH,</v>
      </c>
      <c r="H12" s="12"/>
      <c r="I12" s="12"/>
      <c r="J12" s="12"/>
      <c r="K12" s="123"/>
    </row>
    <row r="13" spans="1:11" ht="15.45" customHeight="1">
      <c r="A13" s="27" t="str">
        <f>INVOICE!A13</f>
        <v>B/L NO.</v>
      </c>
      <c r="B13" s="29"/>
      <c r="C13" s="12" t="str">
        <f>INVOICE!C13</f>
        <v>JSSE2516331B</v>
      </c>
      <c r="D13" s="12"/>
      <c r="E13" s="12"/>
      <c r="F13" s="12"/>
      <c r="G13" s="11" t="str">
        <f>INVOICE!G13</f>
        <v>SANMAR TOWER-1(1ST FLOOR),1850/3319,CDA AVENUE,</v>
      </c>
      <c r="H13" s="12"/>
      <c r="I13" s="12"/>
      <c r="J13" s="12"/>
      <c r="K13" s="123"/>
    </row>
    <row r="14" spans="1:11" ht="15.45" customHeight="1">
      <c r="A14" s="27" t="str">
        <f>INVOICE!A14</f>
        <v>CONTAINER NO.</v>
      </c>
      <c r="B14" s="29"/>
      <c r="C14" s="12" t="str">
        <f>INVOICE!C14</f>
        <v>TCKU7262512</v>
      </c>
      <c r="D14" s="12"/>
      <c r="E14" s="12"/>
      <c r="F14" s="12"/>
      <c r="G14" s="11" t="str">
        <f>INVOICE!G14</f>
        <v>EAST NASIRABAD,CHATTOGRAM-4000,BANGLADESH.</v>
      </c>
      <c r="H14" s="12"/>
      <c r="I14" s="12"/>
      <c r="J14" s="12"/>
      <c r="K14" s="123"/>
    </row>
    <row r="15" spans="1:11" ht="15.45" customHeight="1">
      <c r="A15" s="31" t="str">
        <f>INVOICE!A15</f>
        <v>SHIPPED ON BOARD:</v>
      </c>
      <c r="B15" s="32"/>
      <c r="C15" s="22" t="str">
        <f>INVOICE!C15</f>
        <v>OCT 19,2025</v>
      </c>
      <c r="D15" s="22"/>
      <c r="E15" s="22"/>
      <c r="F15" s="22"/>
      <c r="G15" s="21" t="str">
        <f>INVOICE!G15</f>
        <v>BIN NO.000215909-0101.</v>
      </c>
      <c r="H15" s="22"/>
      <c r="I15" s="22"/>
      <c r="J15" s="22"/>
      <c r="K15" s="126"/>
    </row>
    <row r="16" spans="1:11" ht="15.45" customHeight="1">
      <c r="A16" s="27" t="str">
        <f>INVOICE!A16</f>
        <v>COMMODITY DESCRIPTION:</v>
      </c>
      <c r="B16" s="12"/>
      <c r="C16" s="12"/>
      <c r="D16" s="12" t="str">
        <f>INVOICE!D16</f>
        <v xml:space="preserve">FABRICS FOR READY MADE GARMENTS. ORIGIN:CHINA </v>
      </c>
      <c r="E16" s="12"/>
      <c r="F16" s="12"/>
      <c r="G16" s="12"/>
      <c r="H16" s="12"/>
      <c r="I16" s="12"/>
      <c r="J16" s="12"/>
      <c r="K16" s="123"/>
    </row>
    <row r="17" spans="1:11" ht="15.45" customHeight="1">
      <c r="A17" s="11" t="str">
        <f>INVOICE!A17</f>
        <v>DELIVERY TERM:CFR CHATTOGRAM,BANGLADESH.(INCOTERMS 2020.)DESCRIPTION OF MERCHANDISE,</v>
      </c>
      <c r="B17" s="12"/>
      <c r="C17" s="12"/>
      <c r="D17" s="12"/>
      <c r="E17" s="12"/>
      <c r="F17" s="12"/>
      <c r="G17" s="12"/>
      <c r="H17" s="12"/>
      <c r="I17" s="12"/>
      <c r="J17" s="12"/>
      <c r="K17" s="123"/>
    </row>
    <row r="18" spans="1:11" ht="15.45" customHeight="1">
      <c r="A18" s="11" t="str">
        <f>INVOICE!A18</f>
        <v>QUALITY,QUANTITY,UNIT PRICE AND OTHER SPECIFICATION OF GOODS ARE STRICTLY AS PER BENEFICIARY’S</v>
      </c>
      <c r="B18" s="12"/>
      <c r="C18" s="12"/>
      <c r="D18" s="12"/>
      <c r="E18" s="12"/>
      <c r="F18" s="12"/>
      <c r="G18" s="12"/>
      <c r="H18" s="12"/>
      <c r="I18" s="12"/>
      <c r="J18" s="12"/>
      <c r="K18" s="123" t="s">
        <v>3</v>
      </c>
    </row>
    <row r="19" spans="1:11" ht="15.45" customHeight="1">
      <c r="A19" s="11" t="str">
        <f>INVOICE!A19</f>
        <v>PROFORMA INVOICE NO.:JSC/PFA/CAL/25159 DATED 16.09.2025 AND SIGNED BETWEEN BUYER AND SELLER.</v>
      </c>
      <c r="B19" s="12"/>
      <c r="C19" s="12"/>
      <c r="D19" s="12"/>
      <c r="E19" s="12"/>
      <c r="F19" s="12"/>
      <c r="G19" s="12"/>
      <c r="H19" s="12"/>
      <c r="I19" s="12"/>
      <c r="J19" s="12"/>
      <c r="K19" s="123"/>
    </row>
    <row r="20" spans="1:11" ht="15.45" customHeight="1">
      <c r="A20" s="155" t="str">
        <f>INVOICE!A20</f>
        <v xml:space="preserve">      Shipping Mark</v>
      </c>
      <c r="B20" s="155"/>
      <c r="C20" s="152" t="str">
        <f>INVOICE!C20</f>
        <v>Description of Goods</v>
      </c>
      <c r="D20" s="153"/>
      <c r="E20" s="153"/>
      <c r="F20" s="154"/>
      <c r="G20" s="117" t="s">
        <v>44</v>
      </c>
      <c r="H20" s="117" t="str">
        <f>INVOICE!H20</f>
        <v>Quantity(Kgs)</v>
      </c>
      <c r="I20" s="117" t="s">
        <v>45</v>
      </c>
      <c r="J20" s="117" t="s">
        <v>46</v>
      </c>
      <c r="K20" s="105" t="s">
        <v>47</v>
      </c>
    </row>
    <row r="21" spans="1:11" ht="15.45" customHeight="1">
      <c r="A21" s="8"/>
      <c r="B21" s="7"/>
      <c r="C21" s="8"/>
      <c r="D21" s="12"/>
      <c r="E21" s="12"/>
      <c r="F21" s="12"/>
      <c r="G21" s="12"/>
      <c r="H21" s="12"/>
      <c r="I21" s="12"/>
      <c r="J21" s="12"/>
      <c r="K21" s="123"/>
    </row>
    <row r="22" spans="1:11" ht="15.45" customHeight="1">
      <c r="A22" s="11" t="str">
        <f>INVOICE!A22</f>
        <v>CAESAR APPARELS</v>
      </c>
      <c r="B22" s="62"/>
      <c r="C22" s="11" t="str">
        <f>INVOICE!C22</f>
        <v>95% RECYCLED POLYESTER 5% ELASTANE AOP KNIT SINGLE JERSEY FABRIC</v>
      </c>
      <c r="D22" s="12"/>
      <c r="E22" s="12"/>
      <c r="F22" s="12"/>
      <c r="G22" s="12"/>
      <c r="H22" s="48"/>
      <c r="I22" s="129"/>
      <c r="J22" s="17"/>
      <c r="K22" s="127"/>
    </row>
    <row r="23" spans="1:11" ht="15.45" customHeight="1">
      <c r="A23" s="11" t="str">
        <f>INVOICE!A23</f>
        <v>LTD.</v>
      </c>
      <c r="B23" s="62"/>
      <c r="C23" s="11" t="str">
        <f>INVOICE!C23</f>
        <v>CW:60" WEIGHT:170-180GSM STYLE# 7024625 ORDER NO.103956933</v>
      </c>
      <c r="D23" s="12"/>
      <c r="E23" s="12"/>
      <c r="F23" s="48"/>
      <c r="G23" s="48"/>
      <c r="H23" s="48"/>
      <c r="I23" s="64"/>
      <c r="J23" s="48"/>
      <c r="K23" s="127"/>
    </row>
    <row r="24" spans="1:11" ht="15.45" customHeight="1">
      <c r="A24" s="11" t="str">
        <f>INVOICE!A24</f>
        <v>COL.</v>
      </c>
      <c r="B24" s="62"/>
      <c r="C24" s="11" t="str">
        <f>INVOICE!C24</f>
        <v>BLUE FLOWER AOP</v>
      </c>
      <c r="D24" s="12"/>
      <c r="E24" s="12"/>
      <c r="F24" s="48"/>
      <c r="G24" s="48">
        <f>PL!G24</f>
        <v>21</v>
      </c>
      <c r="H24" s="48">
        <f>PL!H24</f>
        <v>495</v>
      </c>
      <c r="I24" s="64">
        <f>PL!I24</f>
        <v>505</v>
      </c>
      <c r="J24" s="48">
        <f>PL!J24</f>
        <v>495</v>
      </c>
      <c r="K24" s="127">
        <f>PL!K24</f>
        <v>1.7</v>
      </c>
    </row>
    <row r="25" spans="1:11" ht="15.45" customHeight="1">
      <c r="A25" s="11" t="str">
        <f>INVOICE!A25</f>
        <v xml:space="preserve">ROLL NO:    </v>
      </c>
      <c r="B25" s="13" t="str">
        <f>INVOICE!B25</f>
        <v>QNTY:</v>
      </c>
      <c r="C25" s="11" t="str">
        <f>INVOICE!C25</f>
        <v>GREEN FLOWER AOP</v>
      </c>
      <c r="D25" s="12"/>
      <c r="E25" s="12"/>
      <c r="F25" s="48"/>
      <c r="G25" s="48">
        <f>PL!G25</f>
        <v>29</v>
      </c>
      <c r="H25" s="48">
        <f>PL!H25</f>
        <v>673</v>
      </c>
      <c r="I25" s="64">
        <f>PL!I25</f>
        <v>688</v>
      </c>
      <c r="J25" s="48">
        <f>PL!J25</f>
        <v>673</v>
      </c>
      <c r="K25" s="127">
        <f>PL!K25</f>
        <v>2.2999999999999998</v>
      </c>
    </row>
    <row r="26" spans="1:11" ht="15.45" customHeight="1">
      <c r="A26" s="11" t="str">
        <f>INVOICE!A26</f>
        <v xml:space="preserve">MADE IN CHINA </v>
      </c>
      <c r="B26" s="13"/>
      <c r="C26" s="11"/>
      <c r="D26" s="12"/>
      <c r="E26" s="12"/>
      <c r="F26" s="48"/>
      <c r="G26" s="48"/>
      <c r="H26" s="48"/>
      <c r="I26" s="64"/>
      <c r="J26" s="48"/>
      <c r="K26" s="127"/>
    </row>
    <row r="27" spans="1:11" ht="15.45" customHeight="1">
      <c r="A27" s="11"/>
      <c r="B27" s="12"/>
      <c r="C27" s="11"/>
      <c r="D27" s="12"/>
      <c r="E27" s="12"/>
      <c r="F27" s="48"/>
      <c r="G27" s="48"/>
      <c r="H27" s="48"/>
      <c r="I27" s="64"/>
      <c r="J27" s="48"/>
      <c r="K27" s="127"/>
    </row>
    <row r="28" spans="1:11" ht="15.45" customHeight="1">
      <c r="A28" s="11"/>
      <c r="B28" s="12"/>
      <c r="C28" s="11"/>
      <c r="D28" s="12"/>
      <c r="E28" s="12"/>
      <c r="F28" s="48"/>
      <c r="G28" s="48"/>
      <c r="H28" s="48"/>
      <c r="I28" s="64"/>
      <c r="J28" s="48"/>
      <c r="K28" s="127"/>
    </row>
    <row r="29" spans="1:11" ht="15.45" customHeight="1">
      <c r="A29" s="11"/>
      <c r="B29" s="12"/>
      <c r="C29" s="11"/>
      <c r="D29" s="12"/>
      <c r="E29" s="12"/>
      <c r="F29" s="48"/>
      <c r="G29" s="48"/>
      <c r="H29" s="48"/>
      <c r="I29" s="64"/>
      <c r="J29" s="48"/>
      <c r="K29" s="127"/>
    </row>
    <row r="30" spans="1:11" ht="15.45" customHeight="1">
      <c r="A30" s="21"/>
      <c r="B30" s="22"/>
      <c r="C30" s="21"/>
      <c r="D30" s="22"/>
      <c r="E30" s="22"/>
      <c r="F30" s="22"/>
      <c r="G30" s="66"/>
      <c r="H30" s="66"/>
      <c r="I30" s="94"/>
      <c r="J30" s="94"/>
      <c r="K30" s="112"/>
    </row>
    <row r="31" spans="1:11" ht="15.45" customHeight="1">
      <c r="A31" s="11"/>
      <c r="B31" s="12"/>
      <c r="C31" s="29" t="s">
        <v>5</v>
      </c>
      <c r="D31" s="12"/>
      <c r="E31" s="12"/>
      <c r="F31" s="12"/>
      <c r="G31" s="49">
        <f>SUM(G24:G29)</f>
        <v>50</v>
      </c>
      <c r="H31" s="49">
        <f>PL!H32</f>
        <v>1168</v>
      </c>
      <c r="I31" s="49">
        <f>PL!I32</f>
        <v>1193</v>
      </c>
      <c r="J31" s="49">
        <f>PL!J32</f>
        <v>1168</v>
      </c>
      <c r="K31" s="128">
        <f>PL!K32</f>
        <v>4</v>
      </c>
    </row>
    <row r="32" spans="1:11" ht="15.45" customHeight="1">
      <c r="A32" s="69"/>
      <c r="B32" s="12"/>
      <c r="C32" s="12"/>
      <c r="D32" s="40"/>
      <c r="E32" s="12"/>
      <c r="F32" s="12"/>
      <c r="G32" s="12"/>
      <c r="H32" s="12"/>
      <c r="I32" s="12"/>
      <c r="J32" s="12"/>
      <c r="K32" s="123"/>
    </row>
    <row r="33" spans="1:11" ht="15.45" customHeight="1">
      <c r="A33" s="27" t="str">
        <f>INVOICE!A41</f>
        <v>REFERENCE:</v>
      </c>
      <c r="B33" s="40"/>
      <c r="C33" s="12" t="str">
        <f>INVOICE!C41</f>
        <v>IMPORT UNDER IRC NO.:BA-0164952(OLD),NEW:260315120051220,</v>
      </c>
      <c r="D33" s="12"/>
      <c r="E33" s="12"/>
      <c r="F33" s="12"/>
      <c r="G33" s="12"/>
      <c r="H33" s="12"/>
      <c r="I33" s="12"/>
      <c r="J33" s="12"/>
      <c r="K33" s="123"/>
    </row>
    <row r="34" spans="1:11" ht="15.45" customHeight="1">
      <c r="A34" s="11"/>
      <c r="B34" s="40"/>
      <c r="C34" s="12" t="str">
        <f>INVOICE!C42</f>
        <v>TIN NO.:789197699253/CIRCLE-68,H.S.CODE NO.6004.10.00</v>
      </c>
      <c r="D34" s="12"/>
      <c r="E34" s="12"/>
      <c r="F34" s="12"/>
      <c r="G34" s="12"/>
      <c r="H34" s="12"/>
      <c r="I34" s="12"/>
      <c r="J34" s="12"/>
      <c r="K34" s="123"/>
    </row>
    <row r="35" spans="1:11" ht="15.45" customHeight="1">
      <c r="A35" s="11"/>
      <c r="B35" s="40"/>
      <c r="C35" s="12" t="str">
        <f>INVOICE!C43</f>
        <v>EXPORT LC NO.ELLOS/CAESAR/001/2025 DATED 01.01.2025</v>
      </c>
      <c r="D35" s="12"/>
      <c r="E35" s="12"/>
      <c r="F35" s="12"/>
      <c r="G35" s="12"/>
      <c r="H35" s="12"/>
      <c r="I35" s="12"/>
      <c r="J35" s="12"/>
      <c r="K35" s="123"/>
    </row>
    <row r="36" spans="1:11" ht="15.45" customHeight="1">
      <c r="A36" s="11"/>
      <c r="B36" s="40"/>
      <c r="C36" s="12" t="str">
        <f>INVOICE!C44</f>
        <v>REF:CA-300/TB/DEC-24/EL/AW25/SN 01/PAL/HAS</v>
      </c>
      <c r="D36" s="12"/>
      <c r="E36" s="12"/>
      <c r="F36" s="12"/>
      <c r="G36" s="12"/>
      <c r="H36" s="12"/>
      <c r="I36" s="12"/>
      <c r="J36" s="12"/>
      <c r="K36" s="123"/>
    </row>
    <row r="37" spans="1:11" ht="15.45" customHeight="1">
      <c r="A37" s="11"/>
      <c r="B37" s="40"/>
      <c r="C37" s="12" t="str">
        <f>INVOICE!C45</f>
        <v>SHIPMENT UNDER BONDED WAREHOUSE LICENCE.</v>
      </c>
      <c r="D37" s="12"/>
      <c r="E37" s="12"/>
      <c r="F37" s="12"/>
      <c r="G37" s="12"/>
      <c r="H37" s="12"/>
      <c r="I37" s="12"/>
      <c r="J37" s="12"/>
      <c r="K37" s="123"/>
    </row>
    <row r="38" spans="1:11" ht="15.45" customHeight="1">
      <c r="A38" s="11"/>
      <c r="B38" s="40"/>
      <c r="C38" s="12"/>
      <c r="D38" s="12"/>
      <c r="E38" s="12"/>
      <c r="F38" s="12"/>
      <c r="G38" s="12"/>
      <c r="H38" s="12"/>
      <c r="I38" s="12"/>
      <c r="J38" s="12"/>
      <c r="K38" s="123"/>
    </row>
    <row r="39" spans="1:11" ht="15.45" customHeight="1">
      <c r="A39" s="11"/>
      <c r="B39" s="40"/>
      <c r="C39" s="12"/>
      <c r="D39" s="12"/>
      <c r="E39" s="12"/>
      <c r="F39" s="12"/>
      <c r="G39" s="12"/>
      <c r="H39" s="12"/>
      <c r="I39" s="12"/>
      <c r="J39" s="12"/>
      <c r="K39" s="123"/>
    </row>
    <row r="40" spans="1:11" ht="15.45" customHeight="1">
      <c r="A40" s="11"/>
      <c r="B40" s="40"/>
      <c r="C40" s="12"/>
      <c r="D40" s="12"/>
      <c r="E40" s="12"/>
      <c r="F40" s="12"/>
      <c r="G40" s="12"/>
      <c r="H40" s="12"/>
      <c r="I40" s="12"/>
      <c r="J40" s="12"/>
      <c r="K40" s="123"/>
    </row>
    <row r="41" spans="1:11" ht="15.45" customHeight="1">
      <c r="A41" s="11"/>
      <c r="B41" s="40"/>
      <c r="C41" s="12"/>
      <c r="D41" s="12"/>
      <c r="E41" s="12"/>
      <c r="F41" s="12"/>
      <c r="G41" s="12"/>
      <c r="H41" s="12"/>
      <c r="I41" s="12"/>
      <c r="J41" s="12"/>
      <c r="K41" s="123"/>
    </row>
    <row r="42" spans="1:11" ht="15.45" customHeight="1">
      <c r="A42" s="11"/>
      <c r="B42" s="40"/>
      <c r="C42" s="12"/>
      <c r="D42" s="12"/>
      <c r="E42" s="12"/>
      <c r="F42" s="12"/>
      <c r="G42" s="12"/>
      <c r="H42" s="12"/>
      <c r="I42" s="12"/>
      <c r="J42" s="12"/>
      <c r="K42" s="123"/>
    </row>
    <row r="43" spans="1:11" ht="15.45" customHeight="1">
      <c r="A43" s="11"/>
      <c r="B43" s="40"/>
      <c r="C43" s="12"/>
      <c r="D43" s="12"/>
      <c r="E43" s="12"/>
      <c r="F43" s="12"/>
      <c r="G43" s="12"/>
      <c r="H43" s="12"/>
      <c r="I43" s="12"/>
      <c r="J43" s="12"/>
      <c r="K43" s="123"/>
    </row>
    <row r="44" spans="1:11" ht="15.45" customHeight="1">
      <c r="A44" s="11"/>
      <c r="B44" s="40"/>
      <c r="C44" s="12"/>
      <c r="D44" s="12"/>
      <c r="E44" s="12"/>
      <c r="F44" s="12"/>
      <c r="G44" s="12"/>
      <c r="H44" s="12"/>
      <c r="I44" s="12"/>
      <c r="J44" s="12"/>
      <c r="K44" s="123"/>
    </row>
    <row r="45" spans="1:11" ht="15.45" customHeight="1">
      <c r="A45" s="11"/>
      <c r="B45" s="40"/>
      <c r="C45" s="12"/>
      <c r="D45" s="12"/>
      <c r="E45" s="12"/>
      <c r="F45" s="12"/>
      <c r="G45" s="12"/>
      <c r="H45" s="12"/>
      <c r="I45" s="12"/>
      <c r="J45" s="12"/>
      <c r="K45" s="123"/>
    </row>
    <row r="46" spans="1:11" ht="15.45" customHeight="1">
      <c r="A46" s="11"/>
      <c r="B46" s="40"/>
      <c r="C46" s="12"/>
      <c r="D46" s="12"/>
      <c r="E46" s="12"/>
      <c r="F46" s="12"/>
      <c r="G46" s="12"/>
      <c r="H46" s="12"/>
      <c r="I46" s="12"/>
      <c r="J46" s="12"/>
      <c r="K46" s="123"/>
    </row>
    <row r="47" spans="1:11" ht="15.45" customHeight="1">
      <c r="A47" s="11"/>
      <c r="B47" s="40"/>
      <c r="C47" s="12"/>
      <c r="D47" s="12"/>
      <c r="E47" s="12"/>
      <c r="F47" s="12"/>
      <c r="G47" s="12"/>
      <c r="H47" s="12"/>
      <c r="I47" s="12"/>
      <c r="J47" s="12"/>
      <c r="K47" s="123"/>
    </row>
    <row r="48" spans="1:11" ht="15.45" customHeight="1">
      <c r="A48" s="11"/>
      <c r="B48" s="40"/>
      <c r="C48" s="12"/>
      <c r="D48" s="12"/>
      <c r="E48" s="12"/>
      <c r="F48" s="12"/>
      <c r="G48" s="12"/>
      <c r="H48" s="12"/>
      <c r="I48" s="12"/>
      <c r="J48" s="12"/>
      <c r="K48" s="123"/>
    </row>
    <row r="49" spans="1:11" ht="15.45" customHeight="1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3"/>
    </row>
    <row r="50" spans="1:11" ht="15.45" customHeight="1">
      <c r="A50" s="21"/>
      <c r="B50" s="22"/>
      <c r="C50" s="22"/>
      <c r="D50" s="22"/>
      <c r="E50" s="22"/>
      <c r="F50" s="22"/>
      <c r="G50" s="22"/>
      <c r="H50" s="22"/>
      <c r="I50" s="22"/>
      <c r="J50" s="22"/>
      <c r="K50" s="126"/>
    </row>
    <row r="51" spans="1:11" ht="15.45" customHeight="1"/>
    <row r="52" spans="1:11" ht="15.45" customHeight="1"/>
    <row r="53" spans="1:11" ht="15.45" customHeight="1"/>
    <row r="54" spans="1:11" ht="15.45" customHeight="1"/>
    <row r="55" spans="1:11" ht="15.45" customHeight="1"/>
    <row r="56" spans="1:11" ht="15.45" customHeight="1"/>
    <row r="57" spans="1:11" ht="15.45" customHeight="1"/>
    <row r="58" spans="1:11" ht="15.45" customHeight="1"/>
    <row r="59" spans="1:11" ht="15.45" customHeight="1"/>
    <row r="60" spans="1:11" ht="15.45" customHeight="1"/>
    <row r="61" spans="1:11" ht="15.45" customHeight="1"/>
    <row r="62" spans="1:11" ht="15.45" customHeight="1"/>
    <row r="63" spans="1:11" ht="15.45" customHeight="1"/>
    <row r="64" spans="1:11" ht="15.45" customHeight="1"/>
    <row r="65" ht="15.45" customHeight="1"/>
    <row r="66" ht="15.45" customHeight="1"/>
    <row r="67" ht="15.45" customHeight="1"/>
    <row r="68" ht="15.45" customHeight="1"/>
    <row r="69" ht="15.45" customHeight="1"/>
    <row r="70" ht="15.45" customHeight="1"/>
    <row r="71" ht="15.45" customHeight="1"/>
  </sheetData>
  <mergeCells count="4">
    <mergeCell ref="G5:K5"/>
    <mergeCell ref="A20:B20"/>
    <mergeCell ref="C20:F20"/>
    <mergeCell ref="J10:K10"/>
  </mergeCells>
  <phoneticPr fontId="1" type="noConversion"/>
  <pageMargins left="0.70866141732283472" right="0.51181102362204722" top="0.59055118110236227" bottom="0.59055118110236227" header="0.31496062992125984" footer="0.31496062992125984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0"/>
  <sheetViews>
    <sheetView tabSelected="1" zoomScaleNormal="100" workbookViewId="0">
      <selection activeCell="C9" sqref="C9"/>
    </sheetView>
  </sheetViews>
  <sheetFormatPr defaultColWidth="8.69921875" defaultRowHeight="15.6"/>
  <cols>
    <col min="2" max="2" width="7.5" customWidth="1"/>
    <col min="3" max="3" width="11.296875" customWidth="1"/>
    <col min="4" max="4" width="11.59765625" customWidth="1"/>
    <col min="5" max="5" width="3.69921875" customWidth="1"/>
    <col min="6" max="6" width="2.69921875" customWidth="1"/>
    <col min="7" max="7" width="9.19921875" customWidth="1"/>
    <col min="8" max="8" width="11.296875" customWidth="1"/>
    <col min="9" max="9" width="7.69921875" customWidth="1"/>
    <col min="10" max="10" width="7.59765625" customWidth="1"/>
    <col min="11" max="11" width="4.296875" customWidth="1"/>
    <col min="12" max="12" width="7.69921875" customWidth="1"/>
  </cols>
  <sheetData>
    <row r="1" spans="1:11" s="10" customFormat="1" ht="15.45" customHeight="1">
      <c r="A1" s="5" t="str">
        <f>INVOICE!A1</f>
        <v>ISSUER:</v>
      </c>
      <c r="B1" s="6"/>
      <c r="C1" s="6"/>
      <c r="D1" s="6"/>
      <c r="E1" s="6"/>
      <c r="F1" s="6"/>
      <c r="G1" s="8"/>
      <c r="H1" s="6"/>
      <c r="I1" s="6"/>
      <c r="J1" s="6"/>
      <c r="K1" s="7"/>
    </row>
    <row r="2" spans="1:11" s="10" customFormat="1" ht="15.45" customHeight="1">
      <c r="A2" s="11" t="str">
        <f>INVOICE!A2</f>
        <v>SKY NICE INTERNATIONAL TRADING LIMITED</v>
      </c>
      <c r="B2" s="12"/>
      <c r="C2" s="12"/>
      <c r="D2" s="12"/>
      <c r="E2" s="12"/>
      <c r="F2" s="12"/>
      <c r="G2" s="11"/>
      <c r="H2" s="12"/>
      <c r="I2" s="12"/>
      <c r="J2" s="12"/>
      <c r="K2" s="13"/>
    </row>
    <row r="3" spans="1:11" s="10" customFormat="1" ht="15.45" customHeight="1">
      <c r="A3" s="11" t="str">
        <f>INVOICE!A3</f>
        <v>ROOMS 1316,13/F,HOLLYWOOD PLAZA,610 NATHAN ROAD,</v>
      </c>
      <c r="B3" s="12"/>
      <c r="C3" s="12"/>
      <c r="D3" s="12"/>
      <c r="E3" s="12"/>
      <c r="F3" s="12"/>
      <c r="G3" s="11"/>
      <c r="H3" s="12"/>
      <c r="I3" s="12"/>
      <c r="J3" s="12"/>
      <c r="K3" s="13"/>
    </row>
    <row r="4" spans="1:11" s="10" customFormat="1" ht="15.45" customHeight="1">
      <c r="A4" s="21" t="str">
        <f>INVOICE!A4</f>
        <v>MONGKOK,KOWLOON,HONG KONG.</v>
      </c>
      <c r="B4" s="12"/>
      <c r="C4" s="12"/>
      <c r="D4" s="12"/>
      <c r="E4" s="12"/>
      <c r="F4" s="12"/>
      <c r="G4" s="11"/>
      <c r="H4" s="12"/>
      <c r="I4" s="12"/>
      <c r="J4" s="12"/>
      <c r="K4" s="13"/>
    </row>
    <row r="5" spans="1:11" s="10" customFormat="1" ht="15.45" customHeight="1">
      <c r="A5" s="27" t="str">
        <f>INVOICE!A5</f>
        <v>TO:</v>
      </c>
      <c r="B5" s="6"/>
      <c r="C5" s="6"/>
      <c r="D5" s="6"/>
      <c r="E5" s="6"/>
      <c r="F5" s="6"/>
      <c r="G5" s="161" t="s">
        <v>54</v>
      </c>
      <c r="H5" s="162"/>
      <c r="I5" s="162"/>
      <c r="J5" s="162"/>
      <c r="K5" s="163"/>
    </row>
    <row r="6" spans="1:11" s="10" customFormat="1" ht="15.45" customHeight="1">
      <c r="A6" s="11" t="str">
        <f>INVOICE!A6</f>
        <v>CAESAR APPARELS LIMITED</v>
      </c>
      <c r="B6" s="12"/>
      <c r="C6" s="12"/>
      <c r="D6" s="12"/>
      <c r="E6" s="12"/>
      <c r="F6" s="12"/>
      <c r="G6" s="11"/>
      <c r="H6" s="12"/>
      <c r="I6" s="12"/>
      <c r="J6" s="12"/>
      <c r="K6" s="13"/>
    </row>
    <row r="7" spans="1:11" s="10" customFormat="1" ht="15.45" customHeight="1">
      <c r="A7" s="11" t="str">
        <f>INVOICE!A7</f>
        <v>82,NASIRABAD I/A,</v>
      </c>
      <c r="B7" s="17"/>
      <c r="C7" s="17"/>
      <c r="D7" s="17"/>
      <c r="E7" s="17"/>
      <c r="F7" s="17"/>
      <c r="G7" s="19"/>
      <c r="H7" s="17"/>
      <c r="I7" s="17"/>
      <c r="J7" s="17"/>
      <c r="K7" s="18"/>
    </row>
    <row r="8" spans="1:11" s="10" customFormat="1" ht="15.45" customHeight="1">
      <c r="A8" s="11" t="str">
        <f>INVOICE!A8</f>
        <v>CHATTOGRAM-4209,BANGLADESH.</v>
      </c>
      <c r="B8" s="17"/>
      <c r="C8" s="17"/>
      <c r="D8" s="17"/>
      <c r="E8" s="17"/>
      <c r="F8" s="17"/>
      <c r="G8" s="55"/>
      <c r="H8" s="56"/>
      <c r="I8" s="56"/>
      <c r="J8" s="56"/>
      <c r="K8" s="18"/>
    </row>
    <row r="9" spans="1:11" s="10" customFormat="1" ht="15.45" customHeight="1">
      <c r="A9" s="21" t="str">
        <f>INVOICE!A9</f>
        <v>BIN/VAT REGISTRATION NO.:000319795-0505</v>
      </c>
      <c r="B9" s="22"/>
      <c r="C9" s="22"/>
      <c r="D9" s="22"/>
      <c r="E9" s="22"/>
      <c r="F9" s="15"/>
      <c r="G9" s="57" t="s">
        <v>49</v>
      </c>
      <c r="H9" s="58" t="str">
        <f>INVOICE!H9</f>
        <v>DWJ251019H</v>
      </c>
      <c r="I9" s="23" t="str">
        <f>INVOICE!I9</f>
        <v>DATE:</v>
      </c>
      <c r="J9" s="59">
        <f>INVOICE!J9</f>
        <v>45949</v>
      </c>
      <c r="K9" s="60"/>
    </row>
    <row r="10" spans="1:11" s="10" customFormat="1" ht="15.45" customHeight="1">
      <c r="A10" s="27" t="str">
        <f>INVOICE!A10</f>
        <v>SHIPMENT FROM:</v>
      </c>
      <c r="B10" s="12"/>
      <c r="C10" s="12" t="str">
        <f>INVOICE!C10</f>
        <v>SHANGHAI PORT,CHINA</v>
      </c>
      <c r="D10" s="12"/>
      <c r="E10" s="12"/>
      <c r="F10" s="12"/>
      <c r="G10" s="5" t="str">
        <f>INVOICE!G10</f>
        <v>BB LC NO.</v>
      </c>
      <c r="H10" s="61">
        <f>INVOICE!H10</f>
        <v>236025060019</v>
      </c>
      <c r="I10" s="29" t="str">
        <f>INVOICE!I10</f>
        <v>DATE:</v>
      </c>
      <c r="J10" s="156">
        <f>INVOICE!J10</f>
        <v>45944</v>
      </c>
      <c r="K10" s="157"/>
    </row>
    <row r="11" spans="1:11" s="10" customFormat="1" ht="15.45" customHeight="1">
      <c r="A11" s="27" t="str">
        <f>INVOICE!A11</f>
        <v>TO:</v>
      </c>
      <c r="B11" s="12"/>
      <c r="C11" s="12" t="str">
        <f>INVOICE!C11</f>
        <v>CHATTOGRAM,BANGLADESH</v>
      </c>
      <c r="D11" s="12"/>
      <c r="E11" s="12"/>
      <c r="F11" s="12"/>
      <c r="G11" s="27" t="str">
        <f>INVOICE!G11</f>
        <v>ISSUED BY:</v>
      </c>
      <c r="H11" s="61"/>
      <c r="I11" s="29"/>
      <c r="J11" s="29"/>
      <c r="K11" s="13"/>
    </row>
    <row r="12" spans="1:11" s="10" customFormat="1" ht="15.45" customHeight="1">
      <c r="A12" s="27" t="str">
        <f>INVOICE!A12</f>
        <v>VESSEL/VOY NO.</v>
      </c>
      <c r="B12" s="29"/>
      <c r="C12" s="12" t="str">
        <f>INVOICE!C12</f>
        <v>MAERSK BINTULU V.536A</v>
      </c>
      <c r="D12" s="12"/>
      <c r="E12" s="12"/>
      <c r="F12" s="12"/>
      <c r="G12" s="95" t="str">
        <f>INVOICE!G12</f>
        <v>TRUST BANK PLC,CDA AVENUE BRANCH,</v>
      </c>
      <c r="H12" s="12"/>
      <c r="I12" s="29"/>
      <c r="J12" s="29"/>
      <c r="K12" s="13"/>
    </row>
    <row r="13" spans="1:11" s="10" customFormat="1" ht="15.45" customHeight="1">
      <c r="A13" s="27" t="str">
        <f>INVOICE!A13</f>
        <v>B/L NO.</v>
      </c>
      <c r="B13" s="29"/>
      <c r="C13" s="12" t="str">
        <f>INVOICE!C13</f>
        <v>JSSE2516331B</v>
      </c>
      <c r="D13" s="12"/>
      <c r="E13" s="12"/>
      <c r="F13" s="12"/>
      <c r="G13" s="95" t="str">
        <f>INVOICE!G13</f>
        <v>SANMAR TOWER-1(1ST FLOOR),1850/3319,CDA AVENUE,</v>
      </c>
      <c r="H13" s="12"/>
      <c r="I13" s="29"/>
      <c r="J13" s="29"/>
      <c r="K13" s="13"/>
    </row>
    <row r="14" spans="1:11" s="10" customFormat="1" ht="15.45" customHeight="1">
      <c r="A14" s="27" t="str">
        <f>INVOICE!A14</f>
        <v>CONTAINER NO.</v>
      </c>
      <c r="B14" s="29"/>
      <c r="C14" s="12" t="str">
        <f>INVOICE!C14</f>
        <v>TCKU7262512</v>
      </c>
      <c r="D14" s="12"/>
      <c r="E14" s="12"/>
      <c r="F14" s="12"/>
      <c r="G14" s="95" t="str">
        <f>INVOICE!G14</f>
        <v>EAST NASIRABAD,CHATTOGRAM-4000,BANGLADESH.</v>
      </c>
      <c r="H14" s="12"/>
      <c r="I14" s="12"/>
      <c r="J14" s="12"/>
      <c r="K14" s="13"/>
    </row>
    <row r="15" spans="1:11" s="10" customFormat="1" ht="15.45" customHeight="1">
      <c r="A15" s="31" t="str">
        <f>INVOICE!A15</f>
        <v>SHIPPED ON BOARD:</v>
      </c>
      <c r="B15" s="32"/>
      <c r="C15" s="22" t="str">
        <f>INVOICE!C15</f>
        <v>OCT 19,2025</v>
      </c>
      <c r="D15" s="22"/>
      <c r="E15" s="22"/>
      <c r="F15" s="22"/>
      <c r="G15" s="96" t="str">
        <f>INVOICE!G15</f>
        <v>BIN NO.000215909-0101.</v>
      </c>
      <c r="H15" s="22"/>
      <c r="I15" s="32"/>
      <c r="J15" s="32"/>
      <c r="K15" s="15"/>
    </row>
    <row r="16" spans="1:11" s="10" customFormat="1" ht="15.45" customHeight="1">
      <c r="A16" s="27" t="str">
        <f>INVOICE!A16</f>
        <v>COMMODITY DESCRIPTION:</v>
      </c>
      <c r="B16" s="12"/>
      <c r="C16" s="12"/>
      <c r="D16" s="12"/>
      <c r="E16" s="12"/>
      <c r="F16" s="12"/>
      <c r="G16" s="12"/>
      <c r="H16" s="12"/>
      <c r="I16" s="12"/>
      <c r="J16" s="12"/>
      <c r="K16" s="13"/>
    </row>
    <row r="17" spans="1:11" s="10" customFormat="1" ht="15.45" customHeight="1">
      <c r="A17" s="11" t="s">
        <v>50</v>
      </c>
      <c r="B17" s="12"/>
      <c r="C17" s="12"/>
      <c r="D17" s="12"/>
      <c r="E17" s="12"/>
      <c r="F17" s="12"/>
      <c r="G17" s="12"/>
      <c r="H17" s="12"/>
      <c r="I17" s="12"/>
      <c r="J17" s="12"/>
      <c r="K17" s="13"/>
    </row>
    <row r="18" spans="1:11" s="10" customFormat="1" ht="15.45" customHeight="1">
      <c r="A18" s="11" t="s">
        <v>51</v>
      </c>
      <c r="B18" s="12"/>
      <c r="C18" s="12"/>
      <c r="D18" s="12"/>
      <c r="E18" s="12"/>
      <c r="F18" s="12"/>
      <c r="G18" s="12"/>
      <c r="H18" s="12"/>
      <c r="I18" s="12"/>
      <c r="J18" s="12"/>
      <c r="K18" s="13" t="s">
        <v>3</v>
      </c>
    </row>
    <row r="19" spans="1:11" s="10" customFormat="1" ht="15.45" customHeight="1">
      <c r="A19" s="11" t="s">
        <v>72</v>
      </c>
      <c r="B19" s="12"/>
      <c r="C19" s="12"/>
      <c r="D19" s="12"/>
      <c r="E19" s="12"/>
      <c r="F19" s="12"/>
      <c r="G19" s="12"/>
      <c r="H19" s="12"/>
      <c r="I19" s="12"/>
      <c r="J19" s="12"/>
      <c r="K19" s="13"/>
    </row>
    <row r="20" spans="1:11" s="10" customFormat="1" ht="15.45" customHeight="1">
      <c r="A20" s="155" t="str">
        <f>INVOICE!A20</f>
        <v xml:space="preserve">      Shipping Mark</v>
      </c>
      <c r="B20" s="155"/>
      <c r="C20" s="152" t="str">
        <f>INVOICE!C20</f>
        <v>Description of Goods</v>
      </c>
      <c r="D20" s="153"/>
      <c r="E20" s="153"/>
      <c r="F20" s="154"/>
      <c r="G20" s="117" t="s">
        <v>44</v>
      </c>
      <c r="H20" s="117" t="str">
        <f>PL!H20</f>
        <v>Quantity(Kgs)</v>
      </c>
      <c r="I20" s="117" t="str">
        <f>PL!I20</f>
        <v>G.W.(kgs)</v>
      </c>
      <c r="J20" s="117" t="s">
        <v>46</v>
      </c>
      <c r="K20" s="117" t="s">
        <v>34</v>
      </c>
    </row>
    <row r="21" spans="1:11" s="10" customFormat="1" ht="15.45" customHeight="1">
      <c r="A21" s="11"/>
      <c r="B21" s="12"/>
      <c r="C21" s="8"/>
      <c r="D21" s="6"/>
      <c r="E21" s="12"/>
      <c r="F21" s="48"/>
      <c r="G21" s="12"/>
      <c r="H21" s="48"/>
      <c r="I21" s="17"/>
      <c r="J21" s="17"/>
      <c r="K21" s="63"/>
    </row>
    <row r="22" spans="1:11" s="10" customFormat="1" ht="15.45" customHeight="1">
      <c r="A22" s="11" t="str">
        <f>INVOICE!A22</f>
        <v>CAESAR APPARELS</v>
      </c>
      <c r="B22" s="39"/>
      <c r="C22" s="11" t="str">
        <f>INVOICE!C22</f>
        <v>95% RECYCLED POLYESTER 5% ELASTANE AOP KNIT SINGLE JERSEY FABRIC</v>
      </c>
      <c r="D22" s="12"/>
      <c r="E22" s="12"/>
      <c r="F22" s="12"/>
      <c r="G22" s="12"/>
      <c r="H22" s="48"/>
      <c r="I22" s="17"/>
      <c r="J22" s="17"/>
      <c r="K22" s="63"/>
    </row>
    <row r="23" spans="1:11" s="10" customFormat="1" ht="15.45" customHeight="1">
      <c r="A23" s="11" t="str">
        <f>INVOICE!A23</f>
        <v>LTD.</v>
      </c>
      <c r="B23" s="39"/>
      <c r="C23" s="11" t="str">
        <f>INVOICE!C23</f>
        <v>CW:60" WEIGHT:170-180GSM STYLE# 7024625 ORDER NO.103956933</v>
      </c>
      <c r="D23" s="12"/>
      <c r="E23" s="12"/>
      <c r="F23" s="48"/>
      <c r="G23" s="48"/>
      <c r="H23" s="48"/>
      <c r="I23" s="48"/>
      <c r="J23" s="48"/>
      <c r="K23" s="63"/>
    </row>
    <row r="24" spans="1:11" s="10" customFormat="1" ht="15.45" customHeight="1">
      <c r="A24" s="11" t="str">
        <f>INVOICE!A24</f>
        <v>COL.</v>
      </c>
      <c r="B24" s="39"/>
      <c r="C24" s="11" t="str">
        <f>INVOICE!C24</f>
        <v>BLUE FLOWER AOP</v>
      </c>
      <c r="D24" s="12"/>
      <c r="E24" s="12"/>
      <c r="F24" s="48"/>
      <c r="G24" s="48">
        <f>PL!G24</f>
        <v>21</v>
      </c>
      <c r="H24" s="48">
        <f>PL!H24</f>
        <v>495</v>
      </c>
      <c r="I24" s="64">
        <f>PL!I24</f>
        <v>505</v>
      </c>
      <c r="J24" s="48">
        <f>PL!J24</f>
        <v>495</v>
      </c>
      <c r="K24" s="65">
        <f>PL!K24</f>
        <v>1.7</v>
      </c>
    </row>
    <row r="25" spans="1:11" s="10" customFormat="1" ht="15.45" customHeight="1">
      <c r="A25" s="11" t="str">
        <f>INVOICE!A25</f>
        <v xml:space="preserve">ROLL NO:    </v>
      </c>
      <c r="B25" s="12" t="str">
        <f>INVOICE!B25</f>
        <v>QNTY:</v>
      </c>
      <c r="C25" s="11" t="str">
        <f>INVOICE!C25</f>
        <v>GREEN FLOWER AOP</v>
      </c>
      <c r="D25" s="12"/>
      <c r="E25" s="12"/>
      <c r="F25" s="48"/>
      <c r="G25" s="48">
        <f>PL!G25</f>
        <v>29</v>
      </c>
      <c r="H25" s="48">
        <f>PL!H25</f>
        <v>673</v>
      </c>
      <c r="I25" s="64">
        <f>PL!I25</f>
        <v>688</v>
      </c>
      <c r="J25" s="48">
        <f>PL!J25</f>
        <v>673</v>
      </c>
      <c r="K25" s="65">
        <f>PL!K25</f>
        <v>2.2999999999999998</v>
      </c>
    </row>
    <row r="26" spans="1:11" s="10" customFormat="1" ht="15.45" customHeight="1">
      <c r="A26" s="11" t="str">
        <f>INVOICE!A26</f>
        <v xml:space="preserve">MADE IN CHINA </v>
      </c>
      <c r="B26" s="12"/>
      <c r="C26" s="11"/>
      <c r="D26" s="12"/>
      <c r="E26" s="12"/>
      <c r="F26" s="48"/>
      <c r="G26" s="48"/>
      <c r="H26" s="48"/>
      <c r="I26" s="64"/>
      <c r="J26" s="48"/>
      <c r="K26" s="65"/>
    </row>
    <row r="27" spans="1:11" s="10" customFormat="1" ht="15.45" customHeight="1">
      <c r="A27" s="11"/>
      <c r="B27" s="12"/>
      <c r="C27" s="11"/>
      <c r="D27" s="12"/>
      <c r="E27" s="12"/>
      <c r="F27" s="12"/>
      <c r="G27" s="48"/>
      <c r="H27" s="48"/>
      <c r="I27" s="64"/>
      <c r="J27" s="48"/>
      <c r="K27" s="65"/>
    </row>
    <row r="28" spans="1:11" s="10" customFormat="1" ht="15.45" customHeight="1">
      <c r="A28" s="11"/>
      <c r="B28" s="12"/>
      <c r="C28" s="11"/>
      <c r="D28" s="12"/>
      <c r="E28" s="12"/>
      <c r="F28" s="12"/>
      <c r="G28" s="48"/>
      <c r="H28" s="48"/>
      <c r="I28" s="64"/>
      <c r="J28" s="48"/>
      <c r="K28" s="65"/>
    </row>
    <row r="29" spans="1:11" s="10" customFormat="1" ht="15.45" customHeight="1">
      <c r="A29" s="11"/>
      <c r="B29" s="12"/>
      <c r="C29" s="11"/>
      <c r="D29" s="12"/>
      <c r="E29" s="12"/>
      <c r="F29" s="12"/>
      <c r="G29" s="48"/>
      <c r="H29" s="48"/>
      <c r="I29" s="64"/>
      <c r="J29" s="48"/>
      <c r="K29" s="65"/>
    </row>
    <row r="30" spans="1:11" s="10" customFormat="1" ht="15.45" customHeight="1">
      <c r="A30" s="11"/>
      <c r="B30" s="12"/>
      <c r="C30" s="11"/>
      <c r="D30" s="12"/>
      <c r="E30" s="12"/>
      <c r="F30" s="12"/>
      <c r="G30" s="48"/>
      <c r="H30" s="48"/>
      <c r="I30" s="64"/>
      <c r="J30" s="48"/>
      <c r="K30" s="65"/>
    </row>
    <row r="31" spans="1:11" s="10" customFormat="1" ht="15.45" customHeight="1">
      <c r="A31" s="21"/>
      <c r="B31" s="22"/>
      <c r="C31" s="21"/>
      <c r="D31" s="22"/>
      <c r="E31" s="22"/>
      <c r="F31" s="22"/>
      <c r="G31" s="66"/>
      <c r="H31" s="66"/>
      <c r="I31" s="67"/>
      <c r="J31" s="67"/>
      <c r="K31" s="130"/>
    </row>
    <row r="32" spans="1:11" s="10" customFormat="1" ht="15.45" customHeight="1">
      <c r="A32" s="11"/>
      <c r="B32" s="12"/>
      <c r="C32" s="29" t="s">
        <v>52</v>
      </c>
      <c r="D32" s="12"/>
      <c r="E32" s="12"/>
      <c r="F32" s="12"/>
      <c r="G32" s="49">
        <f>PL!G32</f>
        <v>50</v>
      </c>
      <c r="H32" s="49">
        <f>PL!H32</f>
        <v>1168</v>
      </c>
      <c r="I32" s="49">
        <f>PL!I32</f>
        <v>1193</v>
      </c>
      <c r="J32" s="49">
        <f>PL!J32</f>
        <v>1168</v>
      </c>
      <c r="K32" s="121">
        <f>PL!K32</f>
        <v>4</v>
      </c>
    </row>
    <row r="33" spans="1:11" s="10" customFormat="1" ht="15.45" customHeight="1">
      <c r="A33" s="69" t="s">
        <v>53</v>
      </c>
      <c r="B33" s="12"/>
      <c r="C33" s="12" t="str">
        <f>PL!C34</f>
        <v>20YDS UP,STANDARD EXPORT ROLL PACKING.</v>
      </c>
      <c r="D33" s="40"/>
      <c r="E33" s="12"/>
      <c r="F33" s="12"/>
      <c r="G33" s="12"/>
      <c r="H33" s="12"/>
      <c r="I33" s="12"/>
      <c r="J33" s="12"/>
      <c r="K33" s="13"/>
    </row>
    <row r="34" spans="1:11" s="10" customFormat="1" ht="15.45" customHeight="1">
      <c r="A34" s="27" t="s">
        <v>10</v>
      </c>
      <c r="B34" s="28"/>
      <c r="C34" s="52">
        <f>INVOICE!J32</f>
        <v>6132</v>
      </c>
      <c r="D34" s="12" t="str">
        <f>INVOICE!H21</f>
        <v>(CFR CHATTOGRAM,BANGLADESH)</v>
      </c>
      <c r="E34" s="28"/>
      <c r="F34" s="12"/>
      <c r="G34" s="12"/>
      <c r="H34" s="12"/>
      <c r="I34" s="12"/>
      <c r="J34" s="12"/>
      <c r="K34" s="13"/>
    </row>
    <row r="35" spans="1:11" s="10" customFormat="1" ht="15.45" customHeight="1">
      <c r="A35" s="27" t="s">
        <v>11</v>
      </c>
      <c r="B35" s="12"/>
      <c r="C35" s="12" t="s">
        <v>20</v>
      </c>
      <c r="D35" s="12"/>
      <c r="E35" s="12"/>
      <c r="F35" s="12"/>
      <c r="G35" s="12"/>
      <c r="H35" s="12"/>
      <c r="I35" s="12"/>
      <c r="J35" s="12"/>
      <c r="K35" s="13"/>
    </row>
    <row r="36" spans="1:11" s="10" customFormat="1" ht="15.45" customHeight="1">
      <c r="A36" s="11"/>
      <c r="B36" s="12"/>
      <c r="C36" s="12" t="s">
        <v>91</v>
      </c>
      <c r="D36" s="12"/>
      <c r="E36" s="12"/>
      <c r="F36" s="12"/>
      <c r="G36" s="12"/>
      <c r="H36" s="12"/>
      <c r="I36" s="12"/>
      <c r="J36" s="12"/>
      <c r="K36" s="13"/>
    </row>
    <row r="37" spans="1:11" s="10" customFormat="1" ht="15.45" customHeight="1">
      <c r="A37" s="11"/>
      <c r="B37" s="12"/>
      <c r="C37" s="12" t="s">
        <v>93</v>
      </c>
      <c r="D37" s="12"/>
      <c r="E37" s="12"/>
      <c r="F37" s="12"/>
      <c r="G37" s="12"/>
      <c r="H37" s="12"/>
      <c r="I37" s="12"/>
      <c r="J37" s="12"/>
      <c r="K37" s="13"/>
    </row>
    <row r="38" spans="1:11" s="10" customFormat="1" ht="15.45" customHeight="1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3"/>
    </row>
    <row r="39" spans="1:11" s="10" customFormat="1" ht="15.45" customHeight="1">
      <c r="A39" s="27" t="str">
        <f>INVOICE!A41</f>
        <v>REFERENCE:</v>
      </c>
      <c r="B39" s="40"/>
      <c r="C39" s="12" t="str">
        <f>INVOICE!C41</f>
        <v>IMPORT UNDER IRC NO.:BA-0164952(OLD),NEW:260315120051220,</v>
      </c>
      <c r="D39" s="12"/>
      <c r="E39" s="12"/>
      <c r="F39" s="12"/>
      <c r="G39" s="12"/>
      <c r="H39" s="12"/>
      <c r="I39" s="12"/>
      <c r="J39" s="12"/>
      <c r="K39" s="13"/>
    </row>
    <row r="40" spans="1:11" s="10" customFormat="1" ht="15.45" customHeight="1">
      <c r="A40" s="11"/>
      <c r="B40" s="40"/>
      <c r="C40" s="12" t="str">
        <f>INVOICE!C42</f>
        <v>TIN NO.:789197699253/CIRCLE-68,H.S.CODE NO.6004.10.00</v>
      </c>
      <c r="D40" s="12"/>
      <c r="E40" s="12"/>
      <c r="F40" s="12"/>
      <c r="G40" s="12"/>
      <c r="H40" s="12"/>
      <c r="I40" s="12"/>
      <c r="J40" s="12"/>
      <c r="K40" s="13"/>
    </row>
    <row r="41" spans="1:11" s="10" customFormat="1" ht="15.45" customHeight="1">
      <c r="A41" s="11"/>
      <c r="B41" s="40"/>
      <c r="C41" s="12" t="str">
        <f>INVOICE!C43</f>
        <v>EXPORT LC NO.ELLOS/CAESAR/001/2025 DATED 01.01.2025</v>
      </c>
      <c r="D41" s="12"/>
      <c r="E41" s="12"/>
      <c r="F41" s="12"/>
      <c r="G41" s="12"/>
      <c r="H41" s="12"/>
      <c r="I41" s="12"/>
      <c r="J41" s="12"/>
      <c r="K41" s="13"/>
    </row>
    <row r="42" spans="1:11" s="10" customFormat="1" ht="15.45" customHeight="1">
      <c r="A42" s="11"/>
      <c r="B42" s="40"/>
      <c r="C42" s="12" t="str">
        <f>INVOICE!C44</f>
        <v>REF:CA-300/TB/DEC-24/EL/AW25/SN 01/PAL/HAS</v>
      </c>
      <c r="D42" s="12"/>
      <c r="E42" s="12"/>
      <c r="F42" s="12"/>
      <c r="G42" s="12"/>
      <c r="H42" s="12"/>
      <c r="I42" s="12"/>
      <c r="J42" s="12"/>
      <c r="K42" s="13"/>
    </row>
    <row r="43" spans="1:11" s="10" customFormat="1" ht="15.45" customHeight="1">
      <c r="A43" s="11"/>
      <c r="B43" s="40"/>
      <c r="C43" s="12" t="str">
        <f>INVOICE!C45</f>
        <v>SHIPMENT UNDER BONDED WAREHOUSE LICENCE.</v>
      </c>
      <c r="D43" s="12"/>
      <c r="E43" s="12"/>
      <c r="F43" s="12"/>
      <c r="G43" s="12"/>
      <c r="H43" s="12"/>
      <c r="I43" s="12"/>
      <c r="J43" s="12"/>
      <c r="K43" s="13"/>
    </row>
    <row r="44" spans="1:11" s="10" customFormat="1" ht="15.45" customHeight="1">
      <c r="A44" s="11"/>
      <c r="B44" s="40"/>
      <c r="C44" s="12"/>
      <c r="D44" s="12"/>
      <c r="E44" s="12"/>
      <c r="F44" s="12"/>
      <c r="G44" s="12"/>
      <c r="H44" s="12"/>
      <c r="I44" s="12"/>
      <c r="J44" s="12"/>
      <c r="K44" s="13"/>
    </row>
    <row r="45" spans="1:11" s="10" customFormat="1" ht="15.45" customHeight="1">
      <c r="A45" s="11"/>
      <c r="B45" s="40"/>
      <c r="C45" s="12"/>
      <c r="D45" s="12"/>
      <c r="E45" s="12"/>
      <c r="F45" s="12"/>
      <c r="G45" s="12"/>
      <c r="H45" s="12"/>
      <c r="I45" s="12"/>
      <c r="J45" s="12"/>
      <c r="K45" s="13"/>
    </row>
    <row r="46" spans="1:11" s="10" customFormat="1" ht="15.45" customHeight="1">
      <c r="A46" s="11"/>
      <c r="B46" s="40"/>
      <c r="C46" s="12"/>
      <c r="D46" s="12"/>
      <c r="E46" s="12"/>
      <c r="F46" s="12"/>
      <c r="G46" s="12"/>
      <c r="H46" s="12"/>
      <c r="I46" s="12"/>
      <c r="J46" s="12"/>
      <c r="K46" s="13"/>
    </row>
    <row r="47" spans="1:11" s="10" customFormat="1" ht="15.45" customHeight="1">
      <c r="A47" s="11"/>
      <c r="B47" s="40"/>
      <c r="C47" s="12"/>
      <c r="D47" s="12"/>
      <c r="E47" s="12"/>
      <c r="F47" s="12"/>
      <c r="G47" s="12"/>
      <c r="H47" s="12"/>
      <c r="I47" s="12"/>
      <c r="J47" s="12"/>
      <c r="K47" s="13"/>
    </row>
    <row r="48" spans="1:11" s="10" customFormat="1" ht="15.45" customHeight="1">
      <c r="A48" s="11"/>
      <c r="B48" s="40"/>
      <c r="C48" s="12"/>
      <c r="D48" s="12"/>
      <c r="E48" s="12"/>
      <c r="F48" s="12"/>
      <c r="G48" s="12"/>
      <c r="H48" s="12"/>
      <c r="I48" s="12"/>
      <c r="J48" s="12"/>
      <c r="K48" s="13"/>
    </row>
    <row r="49" spans="1:11" s="10" customFormat="1" ht="15.45" customHeight="1">
      <c r="A49" s="11"/>
      <c r="B49" s="40"/>
      <c r="C49" s="12"/>
      <c r="D49" s="12"/>
      <c r="E49" s="12"/>
      <c r="F49" s="12"/>
      <c r="G49" s="12"/>
      <c r="H49" s="12"/>
      <c r="I49" s="12"/>
      <c r="J49" s="12"/>
      <c r="K49" s="13"/>
    </row>
    <row r="50" spans="1:11" ht="15.4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4"/>
    </row>
    <row r="51" spans="1:11" ht="15.45" customHeight="1"/>
    <row r="52" spans="1:11" ht="15.45" customHeight="1"/>
    <row r="53" spans="1:11" ht="15.45" customHeight="1"/>
    <row r="54" spans="1:11" ht="15.45" customHeight="1"/>
    <row r="55" spans="1:11" ht="15.45" customHeight="1"/>
    <row r="56" spans="1:11" ht="15.45" customHeight="1"/>
    <row r="57" spans="1:11" ht="15.45" customHeight="1"/>
    <row r="58" spans="1:11" ht="15.45" customHeight="1"/>
    <row r="59" spans="1:11" ht="15.45" customHeight="1"/>
    <row r="60" spans="1:11" ht="15.45" customHeight="1"/>
    <row r="61" spans="1:11" ht="15.45" customHeight="1"/>
    <row r="62" spans="1:11" ht="15.45" customHeight="1"/>
    <row r="63" spans="1:11" ht="15.45" customHeight="1"/>
    <row r="64" spans="1:11" ht="15.45" customHeight="1"/>
    <row r="65" ht="15.45" customHeight="1"/>
    <row r="66" ht="15.45" customHeight="1"/>
    <row r="67" ht="15.45" customHeight="1"/>
    <row r="68" ht="15.45" customHeight="1"/>
    <row r="69" ht="15.45" customHeight="1"/>
    <row r="70" ht="15.45" customHeight="1"/>
    <row r="71" ht="15.45" customHeight="1"/>
    <row r="72" ht="15.45" customHeight="1"/>
    <row r="73" ht="15.45" customHeight="1"/>
    <row r="74" ht="15.45" customHeight="1"/>
    <row r="75" ht="15.45" customHeight="1"/>
    <row r="76" ht="15.45" customHeight="1"/>
    <row r="77" ht="15.45" customHeight="1"/>
    <row r="78" ht="15.45" customHeight="1"/>
    <row r="79" ht="15.45" customHeight="1"/>
    <row r="80" ht="15.45" customHeight="1"/>
    <row r="81" ht="15.45" customHeight="1"/>
    <row r="82" ht="15.45" customHeight="1"/>
    <row r="83" ht="15.45" customHeight="1"/>
    <row r="84" ht="15.45" customHeight="1"/>
    <row r="85" ht="15.45" customHeight="1"/>
    <row r="86" ht="15.45" customHeight="1"/>
    <row r="87" ht="15.45" customHeight="1"/>
    <row r="88" ht="15.45" customHeight="1"/>
    <row r="89" ht="15.45" customHeight="1"/>
    <row r="90" ht="15.45" customHeight="1"/>
    <row r="91" ht="15.45" customHeight="1"/>
    <row r="92" ht="15.45" customHeight="1"/>
    <row r="93" ht="15.45" customHeight="1"/>
    <row r="94" ht="15.45" customHeight="1"/>
    <row r="95" ht="15.45" customHeight="1"/>
    <row r="96" ht="15.45" customHeight="1"/>
    <row r="97" ht="15.45" customHeight="1"/>
    <row r="98" ht="15.45" customHeight="1"/>
    <row r="99" ht="15.45" customHeight="1"/>
    <row r="100" ht="15.45" customHeight="1"/>
    <row r="101" ht="15.45" customHeight="1"/>
    <row r="102" ht="15.45" customHeight="1"/>
    <row r="103" ht="15.45" customHeight="1"/>
    <row r="104" ht="15.45" customHeight="1"/>
    <row r="105" ht="15.45" customHeight="1"/>
    <row r="106" ht="15.45" customHeight="1"/>
    <row r="107" ht="15.45" customHeight="1"/>
    <row r="108" ht="15.45" customHeight="1"/>
    <row r="109" ht="15.45" customHeight="1"/>
    <row r="110" ht="15.45" customHeight="1"/>
    <row r="111" ht="15.45" customHeight="1"/>
    <row r="112" ht="15.45" customHeight="1"/>
    <row r="113" ht="15.45" customHeight="1"/>
    <row r="114" ht="15.45" customHeight="1"/>
    <row r="115" ht="15.45" customHeight="1"/>
    <row r="116" ht="15.45" customHeight="1"/>
    <row r="117" ht="15.45" customHeight="1"/>
    <row r="118" ht="15.45" customHeight="1"/>
    <row r="119" ht="15.45" customHeight="1"/>
    <row r="120" ht="15.45" customHeight="1"/>
  </sheetData>
  <mergeCells count="4">
    <mergeCell ref="G5:K5"/>
    <mergeCell ref="A20:B20"/>
    <mergeCell ref="C20:F20"/>
    <mergeCell ref="J10:K10"/>
  </mergeCells>
  <phoneticPr fontId="1" type="noConversion"/>
  <pageMargins left="0.51181102362204722" right="0.51181102362204722" top="0.59055118110236227" bottom="0.59055118110236227" header="0.31496062992125984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INVOICE</vt:lpstr>
      <vt:lpstr>PL</vt:lpstr>
      <vt:lpstr>WEIGHT</vt:lpstr>
      <vt:lpstr>PRE SHIPMENT</vt:lpstr>
      <vt:lpstr>INVOICE!bl_no_h</vt:lpstr>
      <vt:lpstr>INVOICE!Ocean_vessel_voyage_no</vt:lpstr>
      <vt:lpstr>INVOICE!Print_Area</vt:lpstr>
      <vt:lpstr>PL!Print_Area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cp:lastModifiedBy>Administrator</cp:lastModifiedBy>
  <cp:lastPrinted>2025-10-20T05:38:26Z</cp:lastPrinted>
  <dcterms:created xsi:type="dcterms:W3CDTF">2022-10-13T02:13:48Z</dcterms:created>
  <dcterms:modified xsi:type="dcterms:W3CDTF">2025-10-20T05:38:49Z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A21A2C4013C14CFDB9AA1961283BAFAE</vt:lpwstr>
  </property>
  <property fmtid="{D5CDD505-2E9C-101B-9397-08002B2CF9AE}" pid="3" name="KSOProductBuildVer">
    <vt:lpwstr>2052-11.1.0.12358</vt:lpwstr>
  </property>
</Properties>
</file>